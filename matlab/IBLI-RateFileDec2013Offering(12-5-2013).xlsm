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85" yWindow="405" windowWidth="16605" windowHeight="9270" tabRatio="810" activeTab="2"/>
  </bookViews>
  <sheets>
    <sheet name="MortalityCalculationLRLD2014" sheetId="41" r:id="rId1"/>
    <sheet name="MortalityCalculationSRSD2014" sheetId="44" r:id="rId2"/>
    <sheet name="FinalRates" sheetId="42" r:id="rId3"/>
  </sheets>
  <functionGroups/>
  <definedNames>
    <definedName name="Beta" localSheetId="1">MortalityCalculationSRSD2014!$Q$16:$Q$70</definedName>
    <definedName name="Beta">MortalityCalculationLRLD2014!$Q$16:$Q$70</definedName>
    <definedName name="CZNDVI_LRLD" localSheetId="1">#REF!</definedName>
    <definedName name="CZNDVI_LRLD">#REF!</definedName>
    <definedName name="CZNDVI_SRSD" localSheetId="1">#REF!</definedName>
    <definedName name="CZNDVI_SRSD">#REF!</definedName>
    <definedName name="DistID" localSheetId="1">#REF!</definedName>
    <definedName name="DistID">#REF!</definedName>
    <definedName name="LmortRaw" localSheetId="1">#REF!</definedName>
    <definedName name="LmortRaw">#REF!</definedName>
    <definedName name="NDVI" localSheetId="1">MortalityCalculationSRSD2014!$K$16:$N$123</definedName>
    <definedName name="NDVI">MortalityCalculationLRLD2014!$K$16:$N$123</definedName>
    <definedName name="queenFinal" localSheetId="1">#REF!</definedName>
    <definedName name="queenFinal">#REF!</definedName>
    <definedName name="queenGWTraw" localSheetId="1">#REF!</definedName>
    <definedName name="queenGWTraw">#REF!</definedName>
    <definedName name="queenRaw" localSheetId="1">#REF!</definedName>
    <definedName name="queenRaw">#REF!</definedName>
    <definedName name="rho" localSheetId="1">MortalityCalculationSRSD2014!$P$16</definedName>
    <definedName name="rho">MortalityCalculationLRLD2014!$P$16</definedName>
    <definedName name="W" localSheetId="1">MortalityCalculationSRSD2014!$S$16:$U$529</definedName>
    <definedName name="W">MortalityCalculationLRLD2014!$S$16:$U$529</definedName>
    <definedName name="X" localSheetId="1">MortalityCalculationSRSD2014!#REF!</definedName>
    <definedName name="X">MortalityCalculationLRLD2014!#REF!</definedName>
    <definedName name="Xint" localSheetId="1">MortalityCalculationSRSD2014!$W$16:$AG$123</definedName>
    <definedName name="Xint">MortalityCalculationLRLD2014!$W$16:$AG$123</definedName>
    <definedName name="Xmat" localSheetId="1">MortalityCalculationSRSD2014!$AI$16:$CK$123</definedName>
    <definedName name="Xmat">MortalityCalculationLRLD2014!$AI$16:$CK$123</definedName>
  </definedNames>
  <calcPr calcId="125725"/>
</workbook>
</file>

<file path=xl/calcChain.xml><?xml version="1.0" encoding="utf-8"?>
<calcChain xmlns="http://schemas.openxmlformats.org/spreadsheetml/2006/main">
  <c r="M110" i="44"/>
  <c r="K8" i="42" l="1"/>
  <c r="J8"/>
  <c r="K9"/>
  <c r="J9"/>
  <c r="K10"/>
  <c r="J10"/>
  <c r="K11"/>
  <c r="J11"/>
  <c r="K12"/>
  <c r="J12"/>
  <c r="K13"/>
  <c r="J13"/>
  <c r="K14"/>
  <c r="J14"/>
  <c r="K15"/>
  <c r="J15"/>
  <c r="K16"/>
  <c r="J16"/>
  <c r="K17"/>
  <c r="J17"/>
  <c r="K18"/>
  <c r="J18"/>
  <c r="K19"/>
  <c r="J19"/>
  <c r="K20"/>
  <c r="J20"/>
  <c r="K21"/>
  <c r="J21"/>
  <c r="K22"/>
  <c r="J22"/>
  <c r="K23"/>
  <c r="J23"/>
  <c r="K24"/>
  <c r="J24"/>
  <c r="K25"/>
  <c r="J25"/>
  <c r="K26"/>
  <c r="J26"/>
  <c r="K27"/>
  <c r="J27"/>
  <c r="K28"/>
  <c r="J28"/>
  <c r="K29"/>
  <c r="J29"/>
  <c r="K30"/>
  <c r="J30"/>
  <c r="K31"/>
  <c r="J31"/>
  <c r="K32"/>
  <c r="J32"/>
  <c r="K33"/>
  <c r="J33"/>
  <c r="K34"/>
  <c r="J34"/>
  <c r="K35"/>
  <c r="J35"/>
  <c r="K36"/>
  <c r="J36"/>
  <c r="K37"/>
  <c r="J37"/>
  <c r="K38"/>
  <c r="J38"/>
  <c r="K39"/>
  <c r="J39"/>
  <c r="K40"/>
  <c r="J40"/>
  <c r="K41"/>
  <c r="J41"/>
  <c r="K42"/>
  <c r="J42"/>
  <c r="K43"/>
  <c r="J43"/>
  <c r="K44"/>
  <c r="J44"/>
  <c r="K45"/>
  <c r="J45"/>
  <c r="K46"/>
  <c r="J46"/>
  <c r="K47"/>
  <c r="J47"/>
  <c r="K48"/>
  <c r="J48"/>
  <c r="K49"/>
  <c r="J49"/>
  <c r="K50"/>
  <c r="J50"/>
  <c r="K51"/>
  <c r="J51"/>
  <c r="K52"/>
  <c r="J52"/>
  <c r="K53"/>
  <c r="J53"/>
  <c r="K54"/>
  <c r="J54"/>
  <c r="K55"/>
  <c r="J55"/>
  <c r="K56"/>
  <c r="J56"/>
  <c r="K57"/>
  <c r="J57"/>
  <c r="K58"/>
  <c r="J58"/>
  <c r="K59"/>
  <c r="J59"/>
  <c r="K60"/>
  <c r="J60"/>
  <c r="K61"/>
  <c r="J61"/>
  <c r="K62"/>
  <c r="J62"/>
  <c r="K63"/>
  <c r="J63"/>
  <c r="K64"/>
  <c r="J64"/>
  <c r="K65"/>
  <c r="J65"/>
  <c r="K66"/>
  <c r="J66"/>
  <c r="K67"/>
  <c r="J67"/>
  <c r="K68"/>
  <c r="J68"/>
  <c r="K69"/>
  <c r="J69"/>
  <c r="K70"/>
  <c r="J70"/>
  <c r="K71"/>
  <c r="J71"/>
  <c r="K72"/>
  <c r="J72"/>
  <c r="K73"/>
  <c r="J73"/>
  <c r="K74"/>
  <c r="J74"/>
  <c r="K75"/>
  <c r="J75"/>
  <c r="K76"/>
  <c r="J76"/>
  <c r="K77"/>
  <c r="J77"/>
  <c r="K78"/>
  <c r="J78"/>
  <c r="K79"/>
  <c r="J79"/>
  <c r="K80"/>
  <c r="J80"/>
  <c r="K81"/>
  <c r="J81"/>
  <c r="K82"/>
  <c r="J82"/>
  <c r="K83"/>
  <c r="J83"/>
  <c r="K84"/>
  <c r="J84"/>
  <c r="K85"/>
  <c r="J85"/>
  <c r="K86"/>
  <c r="J86"/>
  <c r="K87"/>
  <c r="J87"/>
  <c r="K88"/>
  <c r="J88"/>
  <c r="K89"/>
  <c r="J89"/>
  <c r="K90"/>
  <c r="J90"/>
  <c r="K91"/>
  <c r="J91"/>
  <c r="K92"/>
  <c r="J92"/>
  <c r="K93"/>
  <c r="J93"/>
  <c r="K94"/>
  <c r="J94"/>
  <c r="K95"/>
  <c r="J95"/>
  <c r="K96"/>
  <c r="J96"/>
  <c r="K97"/>
  <c r="J97"/>
  <c r="K98"/>
  <c r="J98"/>
  <c r="K99"/>
  <c r="J99"/>
  <c r="K100"/>
  <c r="J100"/>
  <c r="K101"/>
  <c r="J101"/>
  <c r="K102"/>
  <c r="J102"/>
  <c r="K103"/>
  <c r="J103"/>
  <c r="K104"/>
  <c r="J104"/>
  <c r="K105"/>
  <c r="J105"/>
  <c r="K106"/>
  <c r="J106"/>
  <c r="K107"/>
  <c r="J107"/>
  <c r="K108"/>
  <c r="J108"/>
  <c r="K109"/>
  <c r="J109"/>
  <c r="K110"/>
  <c r="J110"/>
  <c r="K111"/>
  <c r="J111"/>
  <c r="K112"/>
  <c r="J112"/>
  <c r="K113"/>
  <c r="J113"/>
  <c r="K7"/>
  <c r="J7"/>
  <c r="J6"/>
  <c r="K6"/>
  <c r="M17" i="44"/>
  <c r="N17" s="1"/>
  <c r="L17"/>
  <c r="N16"/>
  <c r="L16"/>
  <c r="M17" i="41"/>
  <c r="M18" s="1"/>
  <c r="M19" s="1"/>
  <c r="M20" s="1"/>
  <c r="M21" s="1"/>
  <c r="M22" s="1"/>
  <c r="M23" s="1"/>
  <c r="M24" s="1"/>
  <c r="M25" s="1"/>
  <c r="M26" s="1"/>
  <c r="M27" s="1"/>
  <c r="M28" s="1"/>
  <c r="M29" s="1"/>
  <c r="M30" s="1"/>
  <c r="M31" s="1"/>
  <c r="M32" s="1"/>
  <c r="M33" s="1"/>
  <c r="M34" s="1"/>
  <c r="M35" s="1"/>
  <c r="M36" s="1"/>
  <c r="M37" s="1"/>
  <c r="M38" s="1"/>
  <c r="M39" s="1"/>
  <c r="M40" s="1"/>
  <c r="M41" s="1"/>
  <c r="M42" s="1"/>
  <c r="M43" s="1"/>
  <c r="M44" s="1"/>
  <c r="M45" s="1"/>
  <c r="M46" s="1"/>
  <c r="M47" s="1"/>
  <c r="M48" s="1"/>
  <c r="M49" s="1"/>
  <c r="L18" i="44" l="1"/>
  <c r="M18"/>
  <c r="M50" i="41"/>
  <c r="M51" s="1"/>
  <c r="M52" s="1"/>
  <c r="M53" s="1"/>
  <c r="M54" s="1"/>
  <c r="M55" s="1"/>
  <c r="M56" s="1"/>
  <c r="M57" s="1"/>
  <c r="M58" s="1"/>
  <c r="M59" s="1"/>
  <c r="M60" s="1"/>
  <c r="M61" s="1"/>
  <c r="M62" s="1"/>
  <c r="M63" s="1"/>
  <c r="M64" s="1"/>
  <c r="M65" s="1"/>
  <c r="M66" s="1"/>
  <c r="M67" s="1"/>
  <c r="M68" s="1"/>
  <c r="M69" s="1"/>
  <c r="M70" s="1"/>
  <c r="M71" s="1"/>
  <c r="M72" s="1"/>
  <c r="M73" s="1"/>
  <c r="M74" s="1"/>
  <c r="M75" s="1"/>
  <c r="M76" s="1"/>
  <c r="M77" s="1"/>
  <c r="M78" s="1"/>
  <c r="M79" s="1"/>
  <c r="M80" s="1"/>
  <c r="M81" s="1"/>
  <c r="M82" s="1"/>
  <c r="M83" s="1"/>
  <c r="M84" s="1"/>
  <c r="M85" s="1"/>
  <c r="M86" s="1"/>
  <c r="M87" s="1"/>
  <c r="M88" s="1"/>
  <c r="M89" s="1"/>
  <c r="M90" s="1"/>
  <c r="M91" s="1"/>
  <c r="M92" s="1"/>
  <c r="M93" s="1"/>
  <c r="M94" s="1"/>
  <c r="M95" s="1"/>
  <c r="M96" s="1"/>
  <c r="M97" s="1"/>
  <c r="M98" s="1"/>
  <c r="M99" s="1"/>
  <c r="M100" s="1"/>
  <c r="M101" s="1"/>
  <c r="M102" s="1"/>
  <c r="M103" s="1"/>
  <c r="M104" s="1"/>
  <c r="M105" s="1"/>
  <c r="M106" s="1"/>
  <c r="M107" s="1"/>
  <c r="M108" s="1"/>
  <c r="M109" s="1"/>
  <c r="M110" s="1"/>
  <c r="M111" s="1"/>
  <c r="M112" s="1"/>
  <c r="M113" s="1"/>
  <c r="M114" s="1"/>
  <c r="M115" s="1"/>
  <c r="M116" s="1"/>
  <c r="M117" s="1"/>
  <c r="M118" s="1"/>
  <c r="M119" s="1"/>
  <c r="M120" s="1"/>
  <c r="M121" s="1"/>
  <c r="M122" s="1"/>
  <c r="M123" s="1"/>
  <c r="N123" s="1"/>
  <c r="L123"/>
  <c r="N49"/>
  <c r="L49"/>
  <c r="N48"/>
  <c r="L48"/>
  <c r="N47"/>
  <c r="L47"/>
  <c r="N46"/>
  <c r="L46"/>
  <c r="N45"/>
  <c r="L45"/>
  <c r="N44"/>
  <c r="L44"/>
  <c r="N43"/>
  <c r="L43"/>
  <c r="N42"/>
  <c r="L42"/>
  <c r="N41"/>
  <c r="L41"/>
  <c r="N40"/>
  <c r="L40"/>
  <c r="N39"/>
  <c r="L39"/>
  <c r="N38"/>
  <c r="L38"/>
  <c r="N37"/>
  <c r="L37"/>
  <c r="N36"/>
  <c r="L36"/>
  <c r="N35"/>
  <c r="L35"/>
  <c r="N34"/>
  <c r="L34"/>
  <c r="N33"/>
  <c r="L33"/>
  <c r="N32"/>
  <c r="L32"/>
  <c r="N31"/>
  <c r="L31"/>
  <c r="N30"/>
  <c r="L30"/>
  <c r="N29"/>
  <c r="L29"/>
  <c r="N28"/>
  <c r="L28"/>
  <c r="N27"/>
  <c r="L27"/>
  <c r="N26"/>
  <c r="L26"/>
  <c r="N25"/>
  <c r="L25"/>
  <c r="N24"/>
  <c r="L24"/>
  <c r="N23"/>
  <c r="L23"/>
  <c r="N22"/>
  <c r="L22"/>
  <c r="N21"/>
  <c r="L21"/>
  <c r="N20"/>
  <c r="L20"/>
  <c r="N19"/>
  <c r="L19"/>
  <c r="N18"/>
  <c r="L18"/>
  <c r="N17"/>
  <c r="L17"/>
  <c r="N18" i="44" l="1"/>
  <c r="M19"/>
  <c r="L19"/>
  <c r="L56" i="41"/>
  <c r="L52"/>
  <c r="L76"/>
  <c r="L72"/>
  <c r="L68"/>
  <c r="L64"/>
  <c r="L60"/>
  <c r="N52"/>
  <c r="N93"/>
  <c r="N86"/>
  <c r="N64"/>
  <c r="N78"/>
  <c r="N110"/>
  <c r="N71"/>
  <c r="N118"/>
  <c r="N85"/>
  <c r="N77"/>
  <c r="N109"/>
  <c r="N59"/>
  <c r="N102"/>
  <c r="N94"/>
  <c r="N65"/>
  <c r="N117"/>
  <c r="N58"/>
  <c r="N101"/>
  <c r="N51"/>
  <c r="N57"/>
  <c r="N70"/>
  <c r="N76"/>
  <c r="N84"/>
  <c r="N92"/>
  <c r="N100"/>
  <c r="N108"/>
  <c r="N116"/>
  <c r="N50"/>
  <c r="N56"/>
  <c r="N63"/>
  <c r="N69"/>
  <c r="N83"/>
  <c r="N91"/>
  <c r="N99"/>
  <c r="N107"/>
  <c r="N115"/>
  <c r="N62"/>
  <c r="N68"/>
  <c r="N75"/>
  <c r="N82"/>
  <c r="N90"/>
  <c r="N98"/>
  <c r="N106"/>
  <c r="N114"/>
  <c r="N122"/>
  <c r="N55"/>
  <c r="N61"/>
  <c r="N74"/>
  <c r="N81"/>
  <c r="N89"/>
  <c r="N97"/>
  <c r="N105"/>
  <c r="N113"/>
  <c r="N121"/>
  <c r="N54"/>
  <c r="N60"/>
  <c r="N67"/>
  <c r="N73"/>
  <c r="N80"/>
  <c r="N88"/>
  <c r="N96"/>
  <c r="N104"/>
  <c r="N112"/>
  <c r="N120"/>
  <c r="N53"/>
  <c r="N66"/>
  <c r="N72"/>
  <c r="N79"/>
  <c r="N87"/>
  <c r="N95"/>
  <c r="N103"/>
  <c r="N111"/>
  <c r="N119"/>
  <c r="L51"/>
  <c r="L59"/>
  <c r="L67"/>
  <c r="L75"/>
  <c r="L83"/>
  <c r="L91"/>
  <c r="L99"/>
  <c r="L107"/>
  <c r="L115"/>
  <c r="L54"/>
  <c r="L62"/>
  <c r="L70"/>
  <c r="L78"/>
  <c r="L86"/>
  <c r="L94"/>
  <c r="L102"/>
  <c r="L110"/>
  <c r="L122"/>
  <c r="L53"/>
  <c r="L80"/>
  <c r="L84"/>
  <c r="L88"/>
  <c r="L92"/>
  <c r="L96"/>
  <c r="L100"/>
  <c r="L104"/>
  <c r="L108"/>
  <c r="L112"/>
  <c r="L116"/>
  <c r="L120"/>
  <c r="L55"/>
  <c r="L63"/>
  <c r="L71"/>
  <c r="L79"/>
  <c r="L87"/>
  <c r="L95"/>
  <c r="L103"/>
  <c r="L111"/>
  <c r="L119"/>
  <c r="L50"/>
  <c r="L58"/>
  <c r="L66"/>
  <c r="L74"/>
  <c r="L82"/>
  <c r="L90"/>
  <c r="L98"/>
  <c r="L106"/>
  <c r="L114"/>
  <c r="L118"/>
  <c r="L57"/>
  <c r="L61"/>
  <c r="L65"/>
  <c r="L69"/>
  <c r="L73"/>
  <c r="L77"/>
  <c r="L81"/>
  <c r="L85"/>
  <c r="L89"/>
  <c r="L93"/>
  <c r="L97"/>
  <c r="L101"/>
  <c r="L105"/>
  <c r="L109"/>
  <c r="L113"/>
  <c r="L117"/>
  <c r="L121"/>
  <c r="N16"/>
  <c r="L16"/>
  <c r="AI16" a="1"/>
  <c r="L20" i="44" l="1"/>
  <c r="M20"/>
  <c r="N19"/>
  <c r="CK123" i="41"/>
  <c r="CC123"/>
  <c r="BU123"/>
  <c r="BM123"/>
  <c r="BE123"/>
  <c r="AW123"/>
  <c r="AO123"/>
  <c r="CJ122"/>
  <c r="CB122"/>
  <c r="BT122"/>
  <c r="BL122"/>
  <c r="BD122"/>
  <c r="AV122"/>
  <c r="AN122"/>
  <c r="CI121"/>
  <c r="CA121"/>
  <c r="BS121"/>
  <c r="BK121"/>
  <c r="BC121"/>
  <c r="AU121"/>
  <c r="AM121"/>
  <c r="CH120"/>
  <c r="BZ120"/>
  <c r="BR120"/>
  <c r="BJ120"/>
  <c r="BB120"/>
  <c r="AT120"/>
  <c r="AL120"/>
  <c r="CG119"/>
  <c r="BY119"/>
  <c r="BQ119"/>
  <c r="BI119"/>
  <c r="BA119"/>
  <c r="AS119"/>
  <c r="AK119"/>
  <c r="CF118"/>
  <c r="BX118"/>
  <c r="BP118"/>
  <c r="BH118"/>
  <c r="AZ118"/>
  <c r="AR118"/>
  <c r="AJ118"/>
  <c r="CE117"/>
  <c r="BW117"/>
  <c r="BO117"/>
  <c r="BG117"/>
  <c r="AY117"/>
  <c r="AQ117"/>
  <c r="AI117"/>
  <c r="CD116"/>
  <c r="BV116"/>
  <c r="BN116"/>
  <c r="BF116"/>
  <c r="AX116"/>
  <c r="AP116"/>
  <c r="CK115"/>
  <c r="CC115"/>
  <c r="BU115"/>
  <c r="BM115"/>
  <c r="BE115"/>
  <c r="AW115"/>
  <c r="AO115"/>
  <c r="CJ114"/>
  <c r="CB114"/>
  <c r="BT114"/>
  <c r="BL114"/>
  <c r="BD114"/>
  <c r="AV114"/>
  <c r="AN114"/>
  <c r="CI113"/>
  <c r="CA113"/>
  <c r="BS113"/>
  <c r="BK113"/>
  <c r="BC113"/>
  <c r="AU113"/>
  <c r="AM113"/>
  <c r="CH112"/>
  <c r="BZ112"/>
  <c r="BR112"/>
  <c r="BJ112"/>
  <c r="BB112"/>
  <c r="AT112"/>
  <c r="AL112"/>
  <c r="CG111"/>
  <c r="BY111"/>
  <c r="BQ111"/>
  <c r="BI111"/>
  <c r="BA111"/>
  <c r="AS111"/>
  <c r="AK111"/>
  <c r="CF110"/>
  <c r="BX110"/>
  <c r="BP110"/>
  <c r="BH110"/>
  <c r="AZ110"/>
  <c r="AR110"/>
  <c r="AJ110"/>
  <c r="CE109"/>
  <c r="BW109"/>
  <c r="BO109"/>
  <c r="BG109"/>
  <c r="AY109"/>
  <c r="AQ109"/>
  <c r="AI109"/>
  <c r="CD108"/>
  <c r="BV108"/>
  <c r="BN108"/>
  <c r="BF108"/>
  <c r="AX108"/>
  <c r="AP108"/>
  <c r="CK107"/>
  <c r="CC107"/>
  <c r="BU107"/>
  <c r="BM107"/>
  <c r="BE107"/>
  <c r="AW107"/>
  <c r="AO107"/>
  <c r="CJ106"/>
  <c r="CB106"/>
  <c r="BT106"/>
  <c r="BL106"/>
  <c r="BD106"/>
  <c r="AV106"/>
  <c r="AN106"/>
  <c r="CI105"/>
  <c r="CA105"/>
  <c r="BS105"/>
  <c r="BK105"/>
  <c r="BC105"/>
  <c r="AU105"/>
  <c r="AM105"/>
  <c r="CH104"/>
  <c r="BZ104"/>
  <c r="BR104"/>
  <c r="BJ104"/>
  <c r="BB104"/>
  <c r="AT104"/>
  <c r="AL104"/>
  <c r="CG103"/>
  <c r="BY103"/>
  <c r="BQ103"/>
  <c r="BI103"/>
  <c r="BA103"/>
  <c r="AS103"/>
  <c r="AK103"/>
  <c r="CF102"/>
  <c r="BX102"/>
  <c r="BP102"/>
  <c r="BH102"/>
  <c r="AZ102"/>
  <c r="AR102"/>
  <c r="AJ102"/>
  <c r="CE101"/>
  <c r="BW101"/>
  <c r="BO101"/>
  <c r="BG101"/>
  <c r="AY101"/>
  <c r="AQ101"/>
  <c r="AI101"/>
  <c r="CD100"/>
  <c r="BV100"/>
  <c r="BN100"/>
  <c r="BF100"/>
  <c r="AX100"/>
  <c r="AP100"/>
  <c r="CK99"/>
  <c r="CC99"/>
  <c r="BU99"/>
  <c r="BM99"/>
  <c r="BE99"/>
  <c r="AW99"/>
  <c r="AO99"/>
  <c r="CJ98"/>
  <c r="CB98"/>
  <c r="BT98"/>
  <c r="BL98"/>
  <c r="BD98"/>
  <c r="AV98"/>
  <c r="AN98"/>
  <c r="CI97"/>
  <c r="CA97"/>
  <c r="BS97"/>
  <c r="BK97"/>
  <c r="BC97"/>
  <c r="AU97"/>
  <c r="AM97"/>
  <c r="CH96"/>
  <c r="BZ96"/>
  <c r="BR96"/>
  <c r="BJ96"/>
  <c r="BB96"/>
  <c r="AT96"/>
  <c r="AL96"/>
  <c r="CG95"/>
  <c r="BY95"/>
  <c r="BQ95"/>
  <c r="BI95"/>
  <c r="BA95"/>
  <c r="AS95"/>
  <c r="AK95"/>
  <c r="CF94"/>
  <c r="BX94"/>
  <c r="BP94"/>
  <c r="BH94"/>
  <c r="AZ94"/>
  <c r="AR94"/>
  <c r="AJ94"/>
  <c r="CE93"/>
  <c r="BW93"/>
  <c r="BO93"/>
  <c r="BG93"/>
  <c r="AY93"/>
  <c r="AQ93"/>
  <c r="AI93"/>
  <c r="CD92"/>
  <c r="BV92"/>
  <c r="BN92"/>
  <c r="BF92"/>
  <c r="AX92"/>
  <c r="AP92"/>
  <c r="CK91"/>
  <c r="CC91"/>
  <c r="BU91"/>
  <c r="BM91"/>
  <c r="BE91"/>
  <c r="CE123"/>
  <c r="BW123"/>
  <c r="BO123"/>
  <c r="BG123"/>
  <c r="AY123"/>
  <c r="AQ123"/>
  <c r="AI123"/>
  <c r="CD122"/>
  <c r="BV122"/>
  <c r="BN122"/>
  <c r="BF122"/>
  <c r="AX122"/>
  <c r="AP122"/>
  <c r="CK121"/>
  <c r="CC121"/>
  <c r="BU121"/>
  <c r="BM121"/>
  <c r="BE121"/>
  <c r="AW121"/>
  <c r="AO121"/>
  <c r="CJ120"/>
  <c r="CB120"/>
  <c r="BT120"/>
  <c r="BL120"/>
  <c r="BD120"/>
  <c r="AV120"/>
  <c r="AN120"/>
  <c r="CI119"/>
  <c r="CA119"/>
  <c r="BS119"/>
  <c r="BK119"/>
  <c r="BC119"/>
  <c r="AU119"/>
  <c r="AM119"/>
  <c r="CH118"/>
  <c r="BZ118"/>
  <c r="BR118"/>
  <c r="BJ118"/>
  <c r="BB118"/>
  <c r="AT118"/>
  <c r="AL118"/>
  <c r="CG117"/>
  <c r="BY117"/>
  <c r="BQ117"/>
  <c r="BI117"/>
  <c r="BA117"/>
  <c r="AS117"/>
  <c r="AK117"/>
  <c r="CF116"/>
  <c r="BX116"/>
  <c r="BP116"/>
  <c r="BH116"/>
  <c r="AZ116"/>
  <c r="AR116"/>
  <c r="AJ116"/>
  <c r="CE115"/>
  <c r="BW115"/>
  <c r="BO115"/>
  <c r="BG115"/>
  <c r="AY115"/>
  <c r="AQ115"/>
  <c r="AI115"/>
  <c r="CD114"/>
  <c r="BV114"/>
  <c r="BN114"/>
  <c r="BF114"/>
  <c r="AX114"/>
  <c r="AP114"/>
  <c r="CK113"/>
  <c r="CC113"/>
  <c r="BU113"/>
  <c r="BM113"/>
  <c r="BE113"/>
  <c r="AW113"/>
  <c r="AO113"/>
  <c r="CJ112"/>
  <c r="CB112"/>
  <c r="BT112"/>
  <c r="BL112"/>
  <c r="BD112"/>
  <c r="AV112"/>
  <c r="AN112"/>
  <c r="CI111"/>
  <c r="CA111"/>
  <c r="BS111"/>
  <c r="BK111"/>
  <c r="BC111"/>
  <c r="AU111"/>
  <c r="AM111"/>
  <c r="CH110"/>
  <c r="BZ110"/>
  <c r="BR110"/>
  <c r="BJ110"/>
  <c r="BB110"/>
  <c r="AT110"/>
  <c r="AL110"/>
  <c r="CG109"/>
  <c r="BY109"/>
  <c r="BQ109"/>
  <c r="BI109"/>
  <c r="BA109"/>
  <c r="AS109"/>
  <c r="AK109"/>
  <c r="CF108"/>
  <c r="BX108"/>
  <c r="BP108"/>
  <c r="BH108"/>
  <c r="AZ108"/>
  <c r="AR108"/>
  <c r="AJ108"/>
  <c r="CE107"/>
  <c r="BW107"/>
  <c r="BO107"/>
  <c r="BG107"/>
  <c r="AY107"/>
  <c r="AQ107"/>
  <c r="AI107"/>
  <c r="CD106"/>
  <c r="BV106"/>
  <c r="BN106"/>
  <c r="BF106"/>
  <c r="AX106"/>
  <c r="AP106"/>
  <c r="CK105"/>
  <c r="CC105"/>
  <c r="BU105"/>
  <c r="BM105"/>
  <c r="BE105"/>
  <c r="AW105"/>
  <c r="AO105"/>
  <c r="CJ104"/>
  <c r="CB104"/>
  <c r="BT104"/>
  <c r="BL104"/>
  <c r="BD104"/>
  <c r="AV104"/>
  <c r="AN104"/>
  <c r="CI103"/>
  <c r="CA103"/>
  <c r="BS103"/>
  <c r="BK103"/>
  <c r="BC103"/>
  <c r="AU103"/>
  <c r="AM103"/>
  <c r="CH102"/>
  <c r="BZ102"/>
  <c r="BR102"/>
  <c r="BJ102"/>
  <c r="BB102"/>
  <c r="AT102"/>
  <c r="AL102"/>
  <c r="CG101"/>
  <c r="BY101"/>
  <c r="BQ101"/>
  <c r="BI101"/>
  <c r="BA101"/>
  <c r="AS101"/>
  <c r="AK101"/>
  <c r="CF100"/>
  <c r="BX100"/>
  <c r="BP100"/>
  <c r="BH100"/>
  <c r="AZ100"/>
  <c r="AR100"/>
  <c r="AJ100"/>
  <c r="CE99"/>
  <c r="BW99"/>
  <c r="BO99"/>
  <c r="BG99"/>
  <c r="AY99"/>
  <c r="AQ99"/>
  <c r="AI99"/>
  <c r="CD98"/>
  <c r="BV98"/>
  <c r="BN98"/>
  <c r="BF98"/>
  <c r="AX98"/>
  <c r="AP98"/>
  <c r="CK97"/>
  <c r="CC97"/>
  <c r="BU97"/>
  <c r="BM97"/>
  <c r="BE97"/>
  <c r="AW97"/>
  <c r="AO97"/>
  <c r="CJ96"/>
  <c r="CB96"/>
  <c r="BT96"/>
  <c r="BL96"/>
  <c r="BD96"/>
  <c r="AV96"/>
  <c r="AN96"/>
  <c r="CI95"/>
  <c r="CA95"/>
  <c r="BS95"/>
  <c r="BK95"/>
  <c r="BC95"/>
  <c r="AU95"/>
  <c r="AM95"/>
  <c r="CH94"/>
  <c r="BZ94"/>
  <c r="BR94"/>
  <c r="BJ94"/>
  <c r="BB94"/>
  <c r="AT94"/>
  <c r="AL94"/>
  <c r="CG93"/>
  <c r="BY93"/>
  <c r="BQ93"/>
  <c r="BI93"/>
  <c r="BA93"/>
  <c r="AS93"/>
  <c r="AK93"/>
  <c r="CF92"/>
  <c r="BX92"/>
  <c r="BP92"/>
  <c r="BH92"/>
  <c r="AZ92"/>
  <c r="AR92"/>
  <c r="AJ92"/>
  <c r="CE91"/>
  <c r="BW91"/>
  <c r="BO91"/>
  <c r="BG91"/>
  <c r="AY91"/>
  <c r="AQ91"/>
  <c r="AI91"/>
  <c r="CD90"/>
  <c r="BV90"/>
  <c r="BN90"/>
  <c r="BF90"/>
  <c r="AX90"/>
  <c r="AP90"/>
  <c r="CK89"/>
  <c r="CC89"/>
  <c r="BU89"/>
  <c r="BM89"/>
  <c r="BE89"/>
  <c r="AW89"/>
  <c r="AO89"/>
  <c r="CJ88"/>
  <c r="CB88"/>
  <c r="BT88"/>
  <c r="BL88"/>
  <c r="BD88"/>
  <c r="AV88"/>
  <c r="AN88"/>
  <c r="CI87"/>
  <c r="CA87"/>
  <c r="BS87"/>
  <c r="BK87"/>
  <c r="BC87"/>
  <c r="AU87"/>
  <c r="AM87"/>
  <c r="CH86"/>
  <c r="BZ86"/>
  <c r="CF123"/>
  <c r="BX123"/>
  <c r="BP123"/>
  <c r="BH123"/>
  <c r="AZ123"/>
  <c r="AR123"/>
  <c r="AJ123"/>
  <c r="CE122"/>
  <c r="BW122"/>
  <c r="BO122"/>
  <c r="BG122"/>
  <c r="AY122"/>
  <c r="AQ122"/>
  <c r="AI122"/>
  <c r="CD121"/>
  <c r="BV121"/>
  <c r="BN121"/>
  <c r="BF121"/>
  <c r="AX121"/>
  <c r="AP121"/>
  <c r="CK120"/>
  <c r="CC120"/>
  <c r="BU120"/>
  <c r="BM120"/>
  <c r="BE120"/>
  <c r="AW120"/>
  <c r="AO120"/>
  <c r="CJ119"/>
  <c r="CB119"/>
  <c r="BT119"/>
  <c r="BL119"/>
  <c r="BD119"/>
  <c r="AV119"/>
  <c r="AN119"/>
  <c r="CI118"/>
  <c r="CA118"/>
  <c r="BS118"/>
  <c r="BK118"/>
  <c r="BC118"/>
  <c r="AU118"/>
  <c r="AM118"/>
  <c r="CH117"/>
  <c r="BZ117"/>
  <c r="BR117"/>
  <c r="BJ117"/>
  <c r="BB117"/>
  <c r="AT117"/>
  <c r="AL117"/>
  <c r="CG116"/>
  <c r="BY116"/>
  <c r="BQ116"/>
  <c r="BI116"/>
  <c r="BA116"/>
  <c r="AS116"/>
  <c r="AK116"/>
  <c r="CF115"/>
  <c r="BX115"/>
  <c r="BP115"/>
  <c r="BH115"/>
  <c r="AZ115"/>
  <c r="AR115"/>
  <c r="AJ115"/>
  <c r="CE114"/>
  <c r="BW114"/>
  <c r="BO114"/>
  <c r="BG114"/>
  <c r="AY114"/>
  <c r="AQ114"/>
  <c r="AI114"/>
  <c r="CD113"/>
  <c r="BV113"/>
  <c r="BN113"/>
  <c r="BF113"/>
  <c r="AX113"/>
  <c r="AP113"/>
  <c r="CK112"/>
  <c r="CC112"/>
  <c r="BU112"/>
  <c r="BM112"/>
  <c r="BE112"/>
  <c r="AW112"/>
  <c r="AO112"/>
  <c r="CJ111"/>
  <c r="CB111"/>
  <c r="BT111"/>
  <c r="BL111"/>
  <c r="BD111"/>
  <c r="AV111"/>
  <c r="AN111"/>
  <c r="CI110"/>
  <c r="CA110"/>
  <c r="BS110"/>
  <c r="BK110"/>
  <c r="BC110"/>
  <c r="AU110"/>
  <c r="AM110"/>
  <c r="CH109"/>
  <c r="BZ109"/>
  <c r="BR109"/>
  <c r="BJ109"/>
  <c r="BB109"/>
  <c r="AT109"/>
  <c r="AL109"/>
  <c r="CG108"/>
  <c r="BY108"/>
  <c r="BQ108"/>
  <c r="BI108"/>
  <c r="BA108"/>
  <c r="AS108"/>
  <c r="AK108"/>
  <c r="CF107"/>
  <c r="BX107"/>
  <c r="BP107"/>
  <c r="BH107"/>
  <c r="AZ107"/>
  <c r="AR107"/>
  <c r="AJ107"/>
  <c r="CE106"/>
  <c r="BW106"/>
  <c r="BO106"/>
  <c r="BG106"/>
  <c r="AY106"/>
  <c r="AQ106"/>
  <c r="AI106"/>
  <c r="CD105"/>
  <c r="BV105"/>
  <c r="BN105"/>
  <c r="BF105"/>
  <c r="AX105"/>
  <c r="AP105"/>
  <c r="CK104"/>
  <c r="CC104"/>
  <c r="BU104"/>
  <c r="BM104"/>
  <c r="BE104"/>
  <c r="AW104"/>
  <c r="AO104"/>
  <c r="CJ103"/>
  <c r="CB103"/>
  <c r="BT103"/>
  <c r="BL103"/>
  <c r="BD103"/>
  <c r="AV103"/>
  <c r="AN103"/>
  <c r="CI102"/>
  <c r="CA102"/>
  <c r="BS102"/>
  <c r="BK102"/>
  <c r="BC102"/>
  <c r="AU102"/>
  <c r="AM102"/>
  <c r="CH101"/>
  <c r="BZ101"/>
  <c r="BR101"/>
  <c r="BJ101"/>
  <c r="BB101"/>
  <c r="AT101"/>
  <c r="AL101"/>
  <c r="CG100"/>
  <c r="BY100"/>
  <c r="BQ100"/>
  <c r="BI100"/>
  <c r="BA100"/>
  <c r="AS100"/>
  <c r="AK100"/>
  <c r="CF99"/>
  <c r="BX99"/>
  <c r="BP99"/>
  <c r="BH99"/>
  <c r="AZ99"/>
  <c r="AR99"/>
  <c r="AJ99"/>
  <c r="CE98"/>
  <c r="BW98"/>
  <c r="BO98"/>
  <c r="BG98"/>
  <c r="AY98"/>
  <c r="AQ98"/>
  <c r="AI98"/>
  <c r="CD97"/>
  <c r="BV97"/>
  <c r="BN97"/>
  <c r="BF97"/>
  <c r="AX97"/>
  <c r="AP97"/>
  <c r="CK96"/>
  <c r="CC96"/>
  <c r="BU96"/>
  <c r="BM96"/>
  <c r="BE96"/>
  <c r="AW96"/>
  <c r="AO96"/>
  <c r="CJ95"/>
  <c r="CB95"/>
  <c r="BT95"/>
  <c r="BL95"/>
  <c r="BD95"/>
  <c r="AV95"/>
  <c r="AN95"/>
  <c r="CI94"/>
  <c r="CA94"/>
  <c r="BS94"/>
  <c r="BK94"/>
  <c r="BC94"/>
  <c r="AU94"/>
  <c r="AM94"/>
  <c r="CH93"/>
  <c r="BZ93"/>
  <c r="BR93"/>
  <c r="BJ93"/>
  <c r="BB93"/>
  <c r="AT93"/>
  <c r="AL93"/>
  <c r="CG92"/>
  <c r="BY92"/>
  <c r="BQ92"/>
  <c r="BI92"/>
  <c r="BA92"/>
  <c r="AS92"/>
  <c r="AK92"/>
  <c r="CF91"/>
  <c r="BX91"/>
  <c r="BP91"/>
  <c r="BH91"/>
  <c r="AZ91"/>
  <c r="AR91"/>
  <c r="AJ91"/>
  <c r="CE90"/>
  <c r="BW90"/>
  <c r="BO90"/>
  <c r="BG90"/>
  <c r="AY90"/>
  <c r="AQ90"/>
  <c r="AI90"/>
  <c r="CD89"/>
  <c r="BV89"/>
  <c r="BN89"/>
  <c r="BF89"/>
  <c r="AX89"/>
  <c r="AP89"/>
  <c r="CK88"/>
  <c r="CC88"/>
  <c r="BU88"/>
  <c r="BM88"/>
  <c r="BE88"/>
  <c r="AW88"/>
  <c r="AO88"/>
  <c r="CJ87"/>
  <c r="CB87"/>
  <c r="BT87"/>
  <c r="BL87"/>
  <c r="BZ123"/>
  <c r="BL123"/>
  <c r="BA123"/>
  <c r="AM123"/>
  <c r="CC122"/>
  <c r="BQ122"/>
  <c r="BC122"/>
  <c r="AR122"/>
  <c r="CG121"/>
  <c r="BT121"/>
  <c r="BH121"/>
  <c r="AT121"/>
  <c r="AI121"/>
  <c r="BX120"/>
  <c r="BK120"/>
  <c r="AY120"/>
  <c r="AK120"/>
  <c r="CC119"/>
  <c r="BO119"/>
  <c r="BB119"/>
  <c r="AP119"/>
  <c r="CE118"/>
  <c r="BT118"/>
  <c r="BF118"/>
  <c r="AS118"/>
  <c r="CJ117"/>
  <c r="BV117"/>
  <c r="BK117"/>
  <c r="AW117"/>
  <c r="AJ117"/>
  <c r="CA116"/>
  <c r="BM116"/>
  <c r="BB116"/>
  <c r="AN116"/>
  <c r="CD115"/>
  <c r="BR115"/>
  <c r="BD115"/>
  <c r="AS115"/>
  <c r="CH114"/>
  <c r="BU114"/>
  <c r="BI114"/>
  <c r="AU114"/>
  <c r="AJ114"/>
  <c r="BY113"/>
  <c r="BL113"/>
  <c r="AZ113"/>
  <c r="AL113"/>
  <c r="CD112"/>
  <c r="BP112"/>
  <c r="BC112"/>
  <c r="AQ112"/>
  <c r="CF111"/>
  <c r="BU111"/>
  <c r="BG111"/>
  <c r="AT111"/>
  <c r="CK110"/>
  <c r="BW110"/>
  <c r="BL110"/>
  <c r="AX110"/>
  <c r="AK110"/>
  <c r="CB109"/>
  <c r="BN109"/>
  <c r="BC109"/>
  <c r="AO109"/>
  <c r="CE108"/>
  <c r="BS108"/>
  <c r="BE108"/>
  <c r="AT108"/>
  <c r="CI107"/>
  <c r="BV107"/>
  <c r="BJ107"/>
  <c r="AV107"/>
  <c r="AK107"/>
  <c r="BZ106"/>
  <c r="BM106"/>
  <c r="BA106"/>
  <c r="AM106"/>
  <c r="CE105"/>
  <c r="BQ105"/>
  <c r="BD105"/>
  <c r="AR105"/>
  <c r="CG104"/>
  <c r="BV104"/>
  <c r="BH104"/>
  <c r="AU104"/>
  <c r="AI104"/>
  <c r="BX103"/>
  <c r="BM103"/>
  <c r="AY103"/>
  <c r="AL103"/>
  <c r="CC102"/>
  <c r="BO102"/>
  <c r="BD102"/>
  <c r="AP102"/>
  <c r="CF101"/>
  <c r="BT101"/>
  <c r="BF101"/>
  <c r="AU101"/>
  <c r="CJ100"/>
  <c r="BW100"/>
  <c r="BK100"/>
  <c r="AW100"/>
  <c r="AL100"/>
  <c r="CA99"/>
  <c r="BN99"/>
  <c r="BB99"/>
  <c r="AN99"/>
  <c r="CF98"/>
  <c r="BR98"/>
  <c r="BE98"/>
  <c r="AS98"/>
  <c r="CH97"/>
  <c r="BW97"/>
  <c r="BI97"/>
  <c r="AV97"/>
  <c r="AJ97"/>
  <c r="BY96"/>
  <c r="BN96"/>
  <c r="AZ96"/>
  <c r="AM96"/>
  <c r="CD95"/>
  <c r="BP95"/>
  <c r="BE95"/>
  <c r="AQ95"/>
  <c r="CG94"/>
  <c r="BU94"/>
  <c r="BG94"/>
  <c r="AV94"/>
  <c r="CK93"/>
  <c r="BX93"/>
  <c r="BL93"/>
  <c r="AX93"/>
  <c r="AM93"/>
  <c r="CB92"/>
  <c r="BO92"/>
  <c r="BC92"/>
  <c r="AO92"/>
  <c r="CG91"/>
  <c r="BS91"/>
  <c r="BF91"/>
  <c r="AU91"/>
  <c r="AK91"/>
  <c r="CB90"/>
  <c r="BR90"/>
  <c r="BH90"/>
  <c r="AV90"/>
  <c r="AL90"/>
  <c r="CE89"/>
  <c r="BS89"/>
  <c r="BI89"/>
  <c r="AY89"/>
  <c r="AM89"/>
  <c r="CF88"/>
  <c r="BV88"/>
  <c r="BJ88"/>
  <c r="AZ88"/>
  <c r="AP88"/>
  <c r="CG87"/>
  <c r="BW87"/>
  <c r="BM87"/>
  <c r="BB87"/>
  <c r="AS87"/>
  <c r="AJ87"/>
  <c r="CD86"/>
  <c r="BU86"/>
  <c r="BM86"/>
  <c r="BE86"/>
  <c r="AW86"/>
  <c r="AO86"/>
  <c r="CJ85"/>
  <c r="CB85"/>
  <c r="BT85"/>
  <c r="BL85"/>
  <c r="BD85"/>
  <c r="AV85"/>
  <c r="AN85"/>
  <c r="CI84"/>
  <c r="CA84"/>
  <c r="BS84"/>
  <c r="BK84"/>
  <c r="BC84"/>
  <c r="AU84"/>
  <c r="AM84"/>
  <c r="CH83"/>
  <c r="BZ83"/>
  <c r="BR83"/>
  <c r="BJ83"/>
  <c r="BB83"/>
  <c r="AT83"/>
  <c r="AL83"/>
  <c r="CG82"/>
  <c r="BY82"/>
  <c r="BQ82"/>
  <c r="BI82"/>
  <c r="BA82"/>
  <c r="AS82"/>
  <c r="AK82"/>
  <c r="CF81"/>
  <c r="BX81"/>
  <c r="BP81"/>
  <c r="BH81"/>
  <c r="AZ81"/>
  <c r="AR81"/>
  <c r="AJ81"/>
  <c r="CE80"/>
  <c r="BW80"/>
  <c r="BO80"/>
  <c r="BG80"/>
  <c r="AY80"/>
  <c r="AQ80"/>
  <c r="AI80"/>
  <c r="CD79"/>
  <c r="BV79"/>
  <c r="BN79"/>
  <c r="BF79"/>
  <c r="AX79"/>
  <c r="AP79"/>
  <c r="CK78"/>
  <c r="CC78"/>
  <c r="BU78"/>
  <c r="BM78"/>
  <c r="BE78"/>
  <c r="AW78"/>
  <c r="AO78"/>
  <c r="CJ77"/>
  <c r="CB77"/>
  <c r="BT77"/>
  <c r="BL77"/>
  <c r="BD77"/>
  <c r="AV77"/>
  <c r="AN77"/>
  <c r="CI76"/>
  <c r="CA76"/>
  <c r="BS76"/>
  <c r="BK76"/>
  <c r="BC76"/>
  <c r="AU76"/>
  <c r="AM76"/>
  <c r="CH75"/>
  <c r="BZ75"/>
  <c r="BR75"/>
  <c r="BJ75"/>
  <c r="BB75"/>
  <c r="AT75"/>
  <c r="AL75"/>
  <c r="CG74"/>
  <c r="BY74"/>
  <c r="BQ74"/>
  <c r="BI74"/>
  <c r="BA74"/>
  <c r="AS74"/>
  <c r="AK74"/>
  <c r="CF73"/>
  <c r="BX73"/>
  <c r="BP73"/>
  <c r="BH73"/>
  <c r="CD123"/>
  <c r="BR123"/>
  <c r="BD123"/>
  <c r="AS123"/>
  <c r="CH122"/>
  <c r="BU122"/>
  <c r="BI122"/>
  <c r="AU122"/>
  <c r="AJ122"/>
  <c r="BY121"/>
  <c r="BL121"/>
  <c r="AZ121"/>
  <c r="AL121"/>
  <c r="CD120"/>
  <c r="BP120"/>
  <c r="BC120"/>
  <c r="AQ120"/>
  <c r="CF119"/>
  <c r="BU119"/>
  <c r="BG119"/>
  <c r="AT119"/>
  <c r="CK118"/>
  <c r="BW118"/>
  <c r="BL118"/>
  <c r="AX118"/>
  <c r="AK118"/>
  <c r="CB117"/>
  <c r="BN117"/>
  <c r="BC117"/>
  <c r="AO117"/>
  <c r="CE116"/>
  <c r="BS116"/>
  <c r="BE116"/>
  <c r="AT116"/>
  <c r="CI115"/>
  <c r="BV115"/>
  <c r="BJ115"/>
  <c r="AV115"/>
  <c r="AK115"/>
  <c r="BZ114"/>
  <c r="BM114"/>
  <c r="BA114"/>
  <c r="AM114"/>
  <c r="CE113"/>
  <c r="BQ113"/>
  <c r="BD113"/>
  <c r="AR113"/>
  <c r="CG112"/>
  <c r="BV112"/>
  <c r="BH112"/>
  <c r="AU112"/>
  <c r="AI112"/>
  <c r="BX111"/>
  <c r="BM111"/>
  <c r="AY111"/>
  <c r="AL111"/>
  <c r="CC110"/>
  <c r="BO110"/>
  <c r="BD110"/>
  <c r="AP110"/>
  <c r="CF109"/>
  <c r="BT109"/>
  <c r="BF109"/>
  <c r="AU109"/>
  <c r="CJ108"/>
  <c r="BW108"/>
  <c r="BK108"/>
  <c r="AW108"/>
  <c r="AL108"/>
  <c r="CA107"/>
  <c r="BN107"/>
  <c r="BB107"/>
  <c r="AN107"/>
  <c r="CF106"/>
  <c r="BR106"/>
  <c r="BE106"/>
  <c r="AS106"/>
  <c r="CH105"/>
  <c r="BW105"/>
  <c r="BI105"/>
  <c r="AV105"/>
  <c r="AJ105"/>
  <c r="BY104"/>
  <c r="BN104"/>
  <c r="AZ104"/>
  <c r="AM104"/>
  <c r="CD103"/>
  <c r="BP103"/>
  <c r="BE103"/>
  <c r="AQ103"/>
  <c r="CG102"/>
  <c r="BU102"/>
  <c r="BG102"/>
  <c r="AV102"/>
  <c r="CK101"/>
  <c r="BX101"/>
  <c r="BL101"/>
  <c r="AX101"/>
  <c r="AM101"/>
  <c r="CB100"/>
  <c r="BO100"/>
  <c r="BC100"/>
  <c r="AO100"/>
  <c r="CG99"/>
  <c r="BS99"/>
  <c r="BF99"/>
  <c r="AT99"/>
  <c r="CI98"/>
  <c r="BX98"/>
  <c r="BJ98"/>
  <c r="AW98"/>
  <c r="AK98"/>
  <c r="BZ97"/>
  <c r="BO97"/>
  <c r="BA97"/>
  <c r="AN97"/>
  <c r="CE96"/>
  <c r="BQ96"/>
  <c r="BF96"/>
  <c r="AR96"/>
  <c r="CH95"/>
  <c r="BV95"/>
  <c r="BH95"/>
  <c r="AW95"/>
  <c r="AI95"/>
  <c r="BY94"/>
  <c r="BM94"/>
  <c r="AY94"/>
  <c r="AN94"/>
  <c r="CC93"/>
  <c r="BP93"/>
  <c r="BD93"/>
  <c r="AP93"/>
  <c r="CH92"/>
  <c r="BT92"/>
  <c r="BG92"/>
  <c r="AU92"/>
  <c r="CJ91"/>
  <c r="BY91"/>
  <c r="BK91"/>
  <c r="AX91"/>
  <c r="AN91"/>
  <c r="CG90"/>
  <c r="BU90"/>
  <c r="BK90"/>
  <c r="BA90"/>
  <c r="AO90"/>
  <c r="CH89"/>
  <c r="BX89"/>
  <c r="BL89"/>
  <c r="BB89"/>
  <c r="AR89"/>
  <c r="CI88"/>
  <c r="BY88"/>
  <c r="BO88"/>
  <c r="BC88"/>
  <c r="AS88"/>
  <c r="AI88"/>
  <c r="BZ87"/>
  <c r="BP87"/>
  <c r="BF87"/>
  <c r="AW87"/>
  <c r="AN87"/>
  <c r="CG86"/>
  <c r="BX86"/>
  <c r="BP86"/>
  <c r="BH86"/>
  <c r="AZ86"/>
  <c r="AR86"/>
  <c r="AJ86"/>
  <c r="CE85"/>
  <c r="BW85"/>
  <c r="BO85"/>
  <c r="BG85"/>
  <c r="AY85"/>
  <c r="AQ85"/>
  <c r="AI85"/>
  <c r="CD84"/>
  <c r="BV84"/>
  <c r="BN84"/>
  <c r="BF84"/>
  <c r="AX84"/>
  <c r="AP84"/>
  <c r="CK83"/>
  <c r="CC83"/>
  <c r="BU83"/>
  <c r="BM83"/>
  <c r="BE83"/>
  <c r="AW83"/>
  <c r="AO83"/>
  <c r="CJ82"/>
  <c r="CB82"/>
  <c r="BT82"/>
  <c r="BL82"/>
  <c r="BD82"/>
  <c r="AV82"/>
  <c r="AN82"/>
  <c r="CI81"/>
  <c r="CA81"/>
  <c r="BS81"/>
  <c r="BK81"/>
  <c r="BC81"/>
  <c r="AU81"/>
  <c r="AM81"/>
  <c r="CH80"/>
  <c r="BZ80"/>
  <c r="BR80"/>
  <c r="BJ80"/>
  <c r="BB80"/>
  <c r="AT80"/>
  <c r="AL80"/>
  <c r="CG79"/>
  <c r="BY79"/>
  <c r="BQ79"/>
  <c r="BI79"/>
  <c r="BA79"/>
  <c r="AS79"/>
  <c r="AK79"/>
  <c r="CF78"/>
  <c r="BX78"/>
  <c r="BP78"/>
  <c r="BH78"/>
  <c r="AZ78"/>
  <c r="AR78"/>
  <c r="AJ78"/>
  <c r="CE77"/>
  <c r="BW77"/>
  <c r="BO77"/>
  <c r="BG77"/>
  <c r="AY77"/>
  <c r="AQ77"/>
  <c r="AI77"/>
  <c r="CD76"/>
  <c r="BV76"/>
  <c r="BN76"/>
  <c r="BF76"/>
  <c r="AX76"/>
  <c r="AP76"/>
  <c r="CK75"/>
  <c r="CC75"/>
  <c r="BU75"/>
  <c r="BM75"/>
  <c r="BE75"/>
  <c r="AW75"/>
  <c r="CG123"/>
  <c r="BS123"/>
  <c r="BF123"/>
  <c r="AT123"/>
  <c r="CI122"/>
  <c r="BX122"/>
  <c r="BJ122"/>
  <c r="AW122"/>
  <c r="AK122"/>
  <c r="BZ121"/>
  <c r="BO121"/>
  <c r="BA121"/>
  <c r="AN121"/>
  <c r="CE120"/>
  <c r="BQ120"/>
  <c r="BF120"/>
  <c r="AR120"/>
  <c r="CH119"/>
  <c r="BV119"/>
  <c r="BH119"/>
  <c r="AW119"/>
  <c r="AI119"/>
  <c r="BY118"/>
  <c r="BM118"/>
  <c r="AY118"/>
  <c r="AN118"/>
  <c r="CC117"/>
  <c r="BP117"/>
  <c r="BD117"/>
  <c r="AP117"/>
  <c r="CH116"/>
  <c r="BT116"/>
  <c r="BG116"/>
  <c r="AU116"/>
  <c r="CJ115"/>
  <c r="BY115"/>
  <c r="BK115"/>
  <c r="AX115"/>
  <c r="AL115"/>
  <c r="CA114"/>
  <c r="BP114"/>
  <c r="BB114"/>
  <c r="AO114"/>
  <c r="CF113"/>
  <c r="BR113"/>
  <c r="BG113"/>
  <c r="AS113"/>
  <c r="CI112"/>
  <c r="BW112"/>
  <c r="BI112"/>
  <c r="AX112"/>
  <c r="AJ112"/>
  <c r="BZ111"/>
  <c r="BN111"/>
  <c r="AZ111"/>
  <c r="AO111"/>
  <c r="CD110"/>
  <c r="BQ110"/>
  <c r="BE110"/>
  <c r="AQ110"/>
  <c r="CI109"/>
  <c r="BU109"/>
  <c r="BH109"/>
  <c r="AV109"/>
  <c r="CK108"/>
  <c r="BZ108"/>
  <c r="BL108"/>
  <c r="AY108"/>
  <c r="AM108"/>
  <c r="CB107"/>
  <c r="BQ107"/>
  <c r="BC107"/>
  <c r="AP107"/>
  <c r="CG106"/>
  <c r="BS106"/>
  <c r="BH106"/>
  <c r="AT106"/>
  <c r="CJ105"/>
  <c r="BX105"/>
  <c r="BJ105"/>
  <c r="AY105"/>
  <c r="AK105"/>
  <c r="CA104"/>
  <c r="BO104"/>
  <c r="BA104"/>
  <c r="AP104"/>
  <c r="CE103"/>
  <c r="BR103"/>
  <c r="BF103"/>
  <c r="AR103"/>
  <c r="CJ102"/>
  <c r="BV102"/>
  <c r="BI102"/>
  <c r="AW102"/>
  <c r="AI102"/>
  <c r="CA101"/>
  <c r="BM101"/>
  <c r="AZ101"/>
  <c r="AN101"/>
  <c r="CC100"/>
  <c r="BR100"/>
  <c r="BD100"/>
  <c r="AQ100"/>
  <c r="CH99"/>
  <c r="BT99"/>
  <c r="BI99"/>
  <c r="AU99"/>
  <c r="CK98"/>
  <c r="BY98"/>
  <c r="BK98"/>
  <c r="AZ98"/>
  <c r="AL98"/>
  <c r="CB97"/>
  <c r="BP97"/>
  <c r="BB97"/>
  <c r="AQ97"/>
  <c r="CF96"/>
  <c r="BS96"/>
  <c r="BG96"/>
  <c r="AS96"/>
  <c r="CK95"/>
  <c r="BW95"/>
  <c r="BJ95"/>
  <c r="AX95"/>
  <c r="AJ95"/>
  <c r="CB94"/>
  <c r="BN94"/>
  <c r="BA94"/>
  <c r="AO94"/>
  <c r="CD93"/>
  <c r="BS93"/>
  <c r="BE93"/>
  <c r="AR93"/>
  <c r="CI92"/>
  <c r="BU92"/>
  <c r="BJ92"/>
  <c r="AV92"/>
  <c r="AI92"/>
  <c r="BZ91"/>
  <c r="BL91"/>
  <c r="BA91"/>
  <c r="AO91"/>
  <c r="CH90"/>
  <c r="BX90"/>
  <c r="BL90"/>
  <c r="BB90"/>
  <c r="AR90"/>
  <c r="CI89"/>
  <c r="BY89"/>
  <c r="BO89"/>
  <c r="BC89"/>
  <c r="AS89"/>
  <c r="AI89"/>
  <c r="BZ88"/>
  <c r="BP88"/>
  <c r="BF88"/>
  <c r="AT88"/>
  <c r="AJ88"/>
  <c r="CC87"/>
  <c r="BQ87"/>
  <c r="BG87"/>
  <c r="AX87"/>
  <c r="AO87"/>
  <c r="CI86"/>
  <c r="BY86"/>
  <c r="BQ86"/>
  <c r="BI86"/>
  <c r="BA86"/>
  <c r="AS86"/>
  <c r="AK86"/>
  <c r="CF85"/>
  <c r="BX85"/>
  <c r="BP85"/>
  <c r="BH85"/>
  <c r="AZ85"/>
  <c r="AR85"/>
  <c r="AJ85"/>
  <c r="CE84"/>
  <c r="BW84"/>
  <c r="BO84"/>
  <c r="BG84"/>
  <c r="AY84"/>
  <c r="AQ84"/>
  <c r="AI84"/>
  <c r="CD83"/>
  <c r="BV83"/>
  <c r="BN83"/>
  <c r="BF83"/>
  <c r="AX83"/>
  <c r="AP83"/>
  <c r="CK82"/>
  <c r="CC82"/>
  <c r="BU82"/>
  <c r="BM82"/>
  <c r="BE82"/>
  <c r="AW82"/>
  <c r="AO82"/>
  <c r="CJ81"/>
  <c r="CB81"/>
  <c r="BT81"/>
  <c r="BL81"/>
  <c r="BD81"/>
  <c r="BT123"/>
  <c r="AX123"/>
  <c r="CG122"/>
  <c r="BM122"/>
  <c r="AS122"/>
  <c r="CB121"/>
  <c r="BG121"/>
  <c r="AK121"/>
  <c r="BV120"/>
  <c r="AZ120"/>
  <c r="CK119"/>
  <c r="BN119"/>
  <c r="AR119"/>
  <c r="CC118"/>
  <c r="BG118"/>
  <c r="AO118"/>
  <c r="BU117"/>
  <c r="AZ117"/>
  <c r="CJ116"/>
  <c r="BO116"/>
  <c r="AV116"/>
  <c r="CB115"/>
  <c r="BI115"/>
  <c r="AN115"/>
  <c r="BX114"/>
  <c r="BC114"/>
  <c r="CJ113"/>
  <c r="BP113"/>
  <c r="AV113"/>
  <c r="CE112"/>
  <c r="BK112"/>
  <c r="AP112"/>
  <c r="BW111"/>
  <c r="BE111"/>
  <c r="AI111"/>
  <c r="BT110"/>
  <c r="AW110"/>
  <c r="CD109"/>
  <c r="BL109"/>
  <c r="AP109"/>
  <c r="CA108"/>
  <c r="BD108"/>
  <c r="AI108"/>
  <c r="BS107"/>
  <c r="AX107"/>
  <c r="CH106"/>
  <c r="BK106"/>
  <c r="AR106"/>
  <c r="BZ105"/>
  <c r="BG105"/>
  <c r="AL105"/>
  <c r="BS104"/>
  <c r="AY104"/>
  <c r="CH103"/>
  <c r="BN103"/>
  <c r="AT103"/>
  <c r="CB102"/>
  <c r="BF102"/>
  <c r="AN102"/>
  <c r="BU101"/>
  <c r="BC101"/>
  <c r="CI100"/>
  <c r="BM100"/>
  <c r="AU100"/>
  <c r="CB99"/>
  <c r="BJ99"/>
  <c r="AM99"/>
  <c r="BU98"/>
  <c r="BB98"/>
  <c r="CJ97"/>
  <c r="BQ97"/>
  <c r="AT97"/>
  <c r="CD96"/>
  <c r="BI96"/>
  <c r="AP96"/>
  <c r="BX95"/>
  <c r="BB95"/>
  <c r="CK94"/>
  <c r="BQ94"/>
  <c r="AW94"/>
  <c r="CF93"/>
  <c r="BK93"/>
  <c r="AO93"/>
  <c r="BZ92"/>
  <c r="BD92"/>
  <c r="AL92"/>
  <c r="BR91"/>
  <c r="AW91"/>
  <c r="CJ90"/>
  <c r="BS90"/>
  <c r="BC90"/>
  <c r="AK90"/>
  <c r="BW89"/>
  <c r="BG89"/>
  <c r="AN89"/>
  <c r="CA88"/>
  <c r="BI88"/>
  <c r="AR88"/>
  <c r="CE87"/>
  <c r="BN87"/>
  <c r="AY87"/>
  <c r="AI87"/>
  <c r="BW86"/>
  <c r="BK86"/>
  <c r="AX86"/>
  <c r="AL86"/>
  <c r="CA85"/>
  <c r="BN85"/>
  <c r="BB85"/>
  <c r="AO85"/>
  <c r="CF84"/>
  <c r="BR84"/>
  <c r="BE84"/>
  <c r="AS84"/>
  <c r="CI83"/>
  <c r="BW83"/>
  <c r="BI83"/>
  <c r="AV83"/>
  <c r="AJ83"/>
  <c r="BZ82"/>
  <c r="BN82"/>
  <c r="AZ82"/>
  <c r="AM82"/>
  <c r="CD81"/>
  <c r="BQ81"/>
  <c r="BE81"/>
  <c r="AS81"/>
  <c r="CK80"/>
  <c r="BY123"/>
  <c r="BC123"/>
  <c r="AK123"/>
  <c r="BR122"/>
  <c r="AZ122"/>
  <c r="CF121"/>
  <c r="BJ121"/>
  <c r="AR121"/>
  <c r="BY120"/>
  <c r="BG120"/>
  <c r="AJ120"/>
  <c r="BR119"/>
  <c r="AY119"/>
  <c r="CG118"/>
  <c r="BN118"/>
  <c r="AQ118"/>
  <c r="CA117"/>
  <c r="BF117"/>
  <c r="AM117"/>
  <c r="BU116"/>
  <c r="AY116"/>
  <c r="CH115"/>
  <c r="BN115"/>
  <c r="AT115"/>
  <c r="CC114"/>
  <c r="BH114"/>
  <c r="AL114"/>
  <c r="BW113"/>
  <c r="BA113"/>
  <c r="AI113"/>
  <c r="BO112"/>
  <c r="AS112"/>
  <c r="CD111"/>
  <c r="BH111"/>
  <c r="AP111"/>
  <c r="BV110"/>
  <c r="BA110"/>
  <c r="CK109"/>
  <c r="BP109"/>
  <c r="AW109"/>
  <c r="CC108"/>
  <c r="BJ108"/>
  <c r="AO108"/>
  <c r="BY107"/>
  <c r="BD107"/>
  <c r="CK106"/>
  <c r="BQ106"/>
  <c r="AW106"/>
  <c r="CF105"/>
  <c r="BL105"/>
  <c r="AQ105"/>
  <c r="BX104"/>
  <c r="BF104"/>
  <c r="AJ104"/>
  <c r="BU103"/>
  <c r="AX103"/>
  <c r="CE102"/>
  <c r="BM102"/>
  <c r="AQ102"/>
  <c r="CB101"/>
  <c r="BE101"/>
  <c r="AJ101"/>
  <c r="BT100"/>
  <c r="AY100"/>
  <c r="CI99"/>
  <c r="BL99"/>
  <c r="AS99"/>
  <c r="CA98"/>
  <c r="BH98"/>
  <c r="AM98"/>
  <c r="BT97"/>
  <c r="AZ97"/>
  <c r="CI96"/>
  <c r="BO96"/>
  <c r="AU96"/>
  <c r="CC95"/>
  <c r="BG95"/>
  <c r="AO95"/>
  <c r="BV94"/>
  <c r="BD94"/>
  <c r="CJ93"/>
  <c r="BN93"/>
  <c r="AV93"/>
  <c r="CC92"/>
  <c r="BK92"/>
  <c r="AN92"/>
  <c r="BV91"/>
  <c r="BC91"/>
  <c r="AL91"/>
  <c r="BY90"/>
  <c r="BE90"/>
  <c r="AN90"/>
  <c r="CA89"/>
  <c r="BJ89"/>
  <c r="AT89"/>
  <c r="CE88"/>
  <c r="BN88"/>
  <c r="AX88"/>
  <c r="CH87"/>
  <c r="BR87"/>
  <c r="BA87"/>
  <c r="AL87"/>
  <c r="CB86"/>
  <c r="BN86"/>
  <c r="BB86"/>
  <c r="AN86"/>
  <c r="CD85"/>
  <c r="BR85"/>
  <c r="BE85"/>
  <c r="AS85"/>
  <c r="CH84"/>
  <c r="BU84"/>
  <c r="BI84"/>
  <c r="AV84"/>
  <c r="AJ84"/>
  <c r="BY83"/>
  <c r="BL83"/>
  <c r="AZ83"/>
  <c r="AM83"/>
  <c r="CD82"/>
  <c r="BP82"/>
  <c r="BC82"/>
  <c r="AQ82"/>
  <c r="CG81"/>
  <c r="BU81"/>
  <c r="BG81"/>
  <c r="AV81"/>
  <c r="AK81"/>
  <c r="CC80"/>
  <c r="BS80"/>
  <c r="BH80"/>
  <c r="AW80"/>
  <c r="AM80"/>
  <c r="CE79"/>
  <c r="BT79"/>
  <c r="BJ79"/>
  <c r="AY79"/>
  <c r="AN79"/>
  <c r="CG78"/>
  <c r="BV78"/>
  <c r="BK78"/>
  <c r="BA78"/>
  <c r="AP78"/>
  <c r="CH77"/>
  <c r="BX77"/>
  <c r="BM77"/>
  <c r="BB77"/>
  <c r="AR77"/>
  <c r="CJ76"/>
  <c r="BY76"/>
  <c r="BO76"/>
  <c r="BD76"/>
  <c r="AS76"/>
  <c r="AI76"/>
  <c r="CA75"/>
  <c r="BP75"/>
  <c r="BF75"/>
  <c r="AU75"/>
  <c r="AK75"/>
  <c r="CE74"/>
  <c r="BV74"/>
  <c r="BM74"/>
  <c r="BD74"/>
  <c r="AU74"/>
  <c r="AL74"/>
  <c r="CE73"/>
  <c r="BV73"/>
  <c r="BM73"/>
  <c r="BD73"/>
  <c r="AV73"/>
  <c r="AN73"/>
  <c r="CI72"/>
  <c r="CA72"/>
  <c r="BS72"/>
  <c r="BK72"/>
  <c r="BC72"/>
  <c r="AU72"/>
  <c r="AM72"/>
  <c r="CH71"/>
  <c r="BZ71"/>
  <c r="BR71"/>
  <c r="BJ71"/>
  <c r="BB71"/>
  <c r="AT71"/>
  <c r="AL71"/>
  <c r="CG70"/>
  <c r="BY70"/>
  <c r="BQ70"/>
  <c r="BI70"/>
  <c r="BA70"/>
  <c r="AS70"/>
  <c r="AK70"/>
  <c r="CF69"/>
  <c r="BX69"/>
  <c r="BP69"/>
  <c r="BH69"/>
  <c r="AZ69"/>
  <c r="AR69"/>
  <c r="AJ69"/>
  <c r="CE68"/>
  <c r="BW68"/>
  <c r="BO68"/>
  <c r="BG68"/>
  <c r="AY68"/>
  <c r="AQ68"/>
  <c r="AI68"/>
  <c r="CD67"/>
  <c r="BV67"/>
  <c r="BN67"/>
  <c r="BF67"/>
  <c r="AX67"/>
  <c r="AP67"/>
  <c r="CK66"/>
  <c r="CC66"/>
  <c r="BU66"/>
  <c r="BM66"/>
  <c r="BE66"/>
  <c r="AW66"/>
  <c r="AO66"/>
  <c r="CJ65"/>
  <c r="CB65"/>
  <c r="BT65"/>
  <c r="BL65"/>
  <c r="BD65"/>
  <c r="AV65"/>
  <c r="AN65"/>
  <c r="CI64"/>
  <c r="CA64"/>
  <c r="BS64"/>
  <c r="BK64"/>
  <c r="BC64"/>
  <c r="AU64"/>
  <c r="AM64"/>
  <c r="CH63"/>
  <c r="BZ63"/>
  <c r="BR63"/>
  <c r="BJ63"/>
  <c r="BB63"/>
  <c r="AT63"/>
  <c r="AL63"/>
  <c r="CG62"/>
  <c r="BY62"/>
  <c r="BQ62"/>
  <c r="BI62"/>
  <c r="BA62"/>
  <c r="AS62"/>
  <c r="AK62"/>
  <c r="CF61"/>
  <c r="BX61"/>
  <c r="BP61"/>
  <c r="BH61"/>
  <c r="AZ61"/>
  <c r="AR61"/>
  <c r="AJ61"/>
  <c r="CE60"/>
  <c r="BW60"/>
  <c r="BO60"/>
  <c r="BG60"/>
  <c r="AY60"/>
  <c r="AQ60"/>
  <c r="AI60"/>
  <c r="CD59"/>
  <c r="BV59"/>
  <c r="BN59"/>
  <c r="BF59"/>
  <c r="CA123"/>
  <c r="BI123"/>
  <c r="AL123"/>
  <c r="BS122"/>
  <c r="BA122"/>
  <c r="CH121"/>
  <c r="BP121"/>
  <c r="AS121"/>
  <c r="CA120"/>
  <c r="BH120"/>
  <c r="AM120"/>
  <c r="BW119"/>
  <c r="AZ119"/>
  <c r="CJ118"/>
  <c r="BO118"/>
  <c r="AV118"/>
  <c r="CD117"/>
  <c r="BH117"/>
  <c r="AN117"/>
  <c r="BW116"/>
  <c r="BC116"/>
  <c r="AI116"/>
  <c r="BQ115"/>
  <c r="AU115"/>
  <c r="CF114"/>
  <c r="BJ114"/>
  <c r="AR114"/>
  <c r="BX113"/>
  <c r="BB113"/>
  <c r="AJ113"/>
  <c r="BQ112"/>
  <c r="AY112"/>
  <c r="CE111"/>
  <c r="BJ111"/>
  <c r="AQ111"/>
  <c r="BY110"/>
  <c r="BF110"/>
  <c r="AI110"/>
  <c r="BS109"/>
  <c r="AX109"/>
  <c r="CH108"/>
  <c r="BM108"/>
  <c r="AQ108"/>
  <c r="BZ107"/>
  <c r="BF107"/>
  <c r="AL107"/>
  <c r="BU106"/>
  <c r="AZ106"/>
  <c r="CG105"/>
  <c r="BO105"/>
  <c r="AS105"/>
  <c r="CD104"/>
  <c r="BG104"/>
  <c r="AK104"/>
  <c r="BV103"/>
  <c r="AZ103"/>
  <c r="CK102"/>
  <c r="BN102"/>
  <c r="AS102"/>
  <c r="CC101"/>
  <c r="BH101"/>
  <c r="AO101"/>
  <c r="BU100"/>
  <c r="BB100"/>
  <c r="CJ99"/>
  <c r="BQ99"/>
  <c r="AV99"/>
  <c r="CC98"/>
  <c r="BI98"/>
  <c r="AO98"/>
  <c r="BX97"/>
  <c r="BD97"/>
  <c r="AI97"/>
  <c r="BP96"/>
  <c r="AX96"/>
  <c r="CE95"/>
  <c r="BM95"/>
  <c r="AP95"/>
  <c r="BW94"/>
  <c r="BE94"/>
  <c r="AI94"/>
  <c r="BT93"/>
  <c r="AW93"/>
  <c r="CE92"/>
  <c r="BL92"/>
  <c r="AQ92"/>
  <c r="CA91"/>
  <c r="BD91"/>
  <c r="AM91"/>
  <c r="BZ90"/>
  <c r="BI90"/>
  <c r="AS90"/>
  <c r="CB89"/>
  <c r="BK89"/>
  <c r="AU89"/>
  <c r="CG88"/>
  <c r="BQ88"/>
  <c r="AY88"/>
  <c r="CK87"/>
  <c r="BU87"/>
  <c r="BD87"/>
  <c r="AP87"/>
  <c r="CC86"/>
  <c r="BO86"/>
  <c r="BC86"/>
  <c r="AP86"/>
  <c r="CG85"/>
  <c r="BS85"/>
  <c r="BF85"/>
  <c r="AT85"/>
  <c r="CJ84"/>
  <c r="BX84"/>
  <c r="BJ84"/>
  <c r="AW84"/>
  <c r="AK84"/>
  <c r="CA83"/>
  <c r="BO83"/>
  <c r="BA83"/>
  <c r="AN83"/>
  <c r="CE82"/>
  <c r="BR82"/>
  <c r="BF82"/>
  <c r="AR82"/>
  <c r="CH81"/>
  <c r="BV81"/>
  <c r="BI81"/>
  <c r="AW81"/>
  <c r="AL81"/>
  <c r="CD80"/>
  <c r="BT80"/>
  <c r="BI80"/>
  <c r="AX80"/>
  <c r="AN80"/>
  <c r="CF79"/>
  <c r="BU79"/>
  <c r="BK79"/>
  <c r="AZ79"/>
  <c r="AO79"/>
  <c r="CH78"/>
  <c r="BW78"/>
  <c r="BL78"/>
  <c r="BB78"/>
  <c r="AQ78"/>
  <c r="CI77"/>
  <c r="BY77"/>
  <c r="BN77"/>
  <c r="BC77"/>
  <c r="AS77"/>
  <c r="CK76"/>
  <c r="BZ76"/>
  <c r="BP76"/>
  <c r="BE76"/>
  <c r="AT76"/>
  <c r="AJ76"/>
  <c r="CB75"/>
  <c r="BQ75"/>
  <c r="BG75"/>
  <c r="AV75"/>
  <c r="AM75"/>
  <c r="CF74"/>
  <c r="BW74"/>
  <c r="BN74"/>
  <c r="BE74"/>
  <c r="AV74"/>
  <c r="AM74"/>
  <c r="CG73"/>
  <c r="BW73"/>
  <c r="BN73"/>
  <c r="BE73"/>
  <c r="AW73"/>
  <c r="AO73"/>
  <c r="CJ72"/>
  <c r="CB72"/>
  <c r="BT72"/>
  <c r="BL72"/>
  <c r="BD72"/>
  <c r="AV72"/>
  <c r="AN72"/>
  <c r="CI71"/>
  <c r="CA71"/>
  <c r="BS71"/>
  <c r="BK71"/>
  <c r="BC71"/>
  <c r="AU71"/>
  <c r="AM71"/>
  <c r="CH70"/>
  <c r="BZ70"/>
  <c r="BR70"/>
  <c r="BJ70"/>
  <c r="BB70"/>
  <c r="AT70"/>
  <c r="AL70"/>
  <c r="CG69"/>
  <c r="BY69"/>
  <c r="BQ69"/>
  <c r="BI69"/>
  <c r="BA69"/>
  <c r="AS69"/>
  <c r="AK69"/>
  <c r="CF68"/>
  <c r="BX68"/>
  <c r="BP68"/>
  <c r="BH68"/>
  <c r="AZ68"/>
  <c r="AR68"/>
  <c r="AJ68"/>
  <c r="CE67"/>
  <c r="BW67"/>
  <c r="BO67"/>
  <c r="BG67"/>
  <c r="AY67"/>
  <c r="AQ67"/>
  <c r="AI67"/>
  <c r="CD66"/>
  <c r="BV66"/>
  <c r="BN66"/>
  <c r="BF66"/>
  <c r="AX66"/>
  <c r="AP66"/>
  <c r="CK65"/>
  <c r="CC65"/>
  <c r="BU65"/>
  <c r="BM65"/>
  <c r="BE65"/>
  <c r="AW65"/>
  <c r="AO65"/>
  <c r="CJ64"/>
  <c r="CB64"/>
  <c r="BT64"/>
  <c r="BL64"/>
  <c r="BD64"/>
  <c r="AV64"/>
  <c r="AN64"/>
  <c r="CI63"/>
  <c r="CA63"/>
  <c r="BS63"/>
  <c r="BK63"/>
  <c r="BC63"/>
  <c r="AU63"/>
  <c r="AM63"/>
  <c r="CH62"/>
  <c r="BZ62"/>
  <c r="BR62"/>
  <c r="BJ62"/>
  <c r="BB62"/>
  <c r="AT62"/>
  <c r="AL62"/>
  <c r="CG61"/>
  <c r="BY61"/>
  <c r="BQ61"/>
  <c r="BI61"/>
  <c r="BA61"/>
  <c r="AS61"/>
  <c r="AK61"/>
  <c r="CF60"/>
  <c r="BX60"/>
  <c r="BK123"/>
  <c r="CF122"/>
  <c r="BB122"/>
  <c r="BW121"/>
  <c r="AQ121"/>
  <c r="BN120"/>
  <c r="CE119"/>
  <c r="BE119"/>
  <c r="BV118"/>
  <c r="AP118"/>
  <c r="BM117"/>
  <c r="CI116"/>
  <c r="BD116"/>
  <c r="BZ115"/>
  <c r="AP115"/>
  <c r="BQ114"/>
  <c r="CH113"/>
  <c r="BH113"/>
  <c r="BY112"/>
  <c r="AR112"/>
  <c r="BP111"/>
  <c r="CJ110"/>
  <c r="BG110"/>
  <c r="CA109"/>
  <c r="AR109"/>
  <c r="BR108"/>
  <c r="CJ107"/>
  <c r="BI107"/>
  <c r="CA106"/>
  <c r="AU106"/>
  <c r="BR105"/>
  <c r="AI105"/>
  <c r="BI104"/>
  <c r="CC103"/>
  <c r="AW103"/>
  <c r="BT102"/>
  <c r="AK102"/>
  <c r="BK101"/>
  <c r="CE100"/>
  <c r="AV100"/>
  <c r="BV99"/>
  <c r="AL99"/>
  <c r="BM98"/>
  <c r="CF97"/>
  <c r="AY97"/>
  <c r="BW96"/>
  <c r="AK96"/>
  <c r="BN95"/>
  <c r="CE94"/>
  <c r="AX94"/>
  <c r="BV93"/>
  <c r="AN93"/>
  <c r="BM92"/>
  <c r="CH91"/>
  <c r="BB91"/>
  <c r="CC90"/>
  <c r="AZ90"/>
  <c r="CF89"/>
  <c r="BA89"/>
  <c r="CD88"/>
  <c r="BB88"/>
  <c r="CD87"/>
  <c r="BE87"/>
  <c r="CJ86"/>
  <c r="BL86"/>
  <c r="AT86"/>
  <c r="BZ85"/>
  <c r="BI85"/>
  <c r="AL85"/>
  <c r="BT84"/>
  <c r="BA84"/>
  <c r="CG83"/>
  <c r="BP83"/>
  <c r="AS83"/>
  <c r="CA82"/>
  <c r="BH82"/>
  <c r="AL82"/>
  <c r="BW81"/>
  <c r="BA81"/>
  <c r="AI81"/>
  <c r="BX80"/>
  <c r="BK80"/>
  <c r="AU80"/>
  <c r="CJ79"/>
  <c r="BW79"/>
  <c r="BG79"/>
  <c r="AT79"/>
  <c r="CI78"/>
  <c r="BS78"/>
  <c r="BF78"/>
  <c r="AS78"/>
  <c r="CF77"/>
  <c r="BR77"/>
  <c r="BE77"/>
  <c r="AO77"/>
  <c r="CE76"/>
  <c r="BQ76"/>
  <c r="BA76"/>
  <c r="AN76"/>
  <c r="CD75"/>
  <c r="BN75"/>
  <c r="AZ75"/>
  <c r="AN75"/>
  <c r="CC74"/>
  <c r="BR74"/>
  <c r="BF74"/>
  <c r="AR74"/>
  <c r="CJ73"/>
  <c r="BY73"/>
  <c r="BK73"/>
  <c r="AZ73"/>
  <c r="AP73"/>
  <c r="CG72"/>
  <c r="BW72"/>
  <c r="BM72"/>
  <c r="BA72"/>
  <c r="AQ72"/>
  <c r="CJ71"/>
  <c r="BX71"/>
  <c r="BN71"/>
  <c r="BD71"/>
  <c r="AR71"/>
  <c r="CK70"/>
  <c r="CA70"/>
  <c r="BO70"/>
  <c r="BE70"/>
  <c r="AU70"/>
  <c r="AI70"/>
  <c r="CB69"/>
  <c r="BR69"/>
  <c r="BF69"/>
  <c r="AV69"/>
  <c r="AL69"/>
  <c r="CC68"/>
  <c r="BS68"/>
  <c r="BI68"/>
  <c r="AW68"/>
  <c r="AM68"/>
  <c r="CF67"/>
  <c r="BT67"/>
  <c r="BJ67"/>
  <c r="AZ67"/>
  <c r="AN67"/>
  <c r="CG66"/>
  <c r="BW66"/>
  <c r="BK66"/>
  <c r="BA66"/>
  <c r="AQ66"/>
  <c r="CH65"/>
  <c r="BX65"/>
  <c r="BN65"/>
  <c r="BB65"/>
  <c r="AR65"/>
  <c r="CK64"/>
  <c r="BY64"/>
  <c r="BO64"/>
  <c r="BE64"/>
  <c r="AS64"/>
  <c r="AI64"/>
  <c r="CB63"/>
  <c r="BP63"/>
  <c r="BF63"/>
  <c r="AV63"/>
  <c r="AJ63"/>
  <c r="CC62"/>
  <c r="BS62"/>
  <c r="BG62"/>
  <c r="AW62"/>
  <c r="AM62"/>
  <c r="CD61"/>
  <c r="BT61"/>
  <c r="BJ61"/>
  <c r="AX61"/>
  <c r="AN61"/>
  <c r="CG60"/>
  <c r="BU60"/>
  <c r="BL60"/>
  <c r="BC60"/>
  <c r="AT60"/>
  <c r="AK60"/>
  <c r="CE59"/>
  <c r="BU59"/>
  <c r="BL59"/>
  <c r="BC59"/>
  <c r="AU59"/>
  <c r="AM59"/>
  <c r="CH58"/>
  <c r="BZ58"/>
  <c r="BR58"/>
  <c r="BJ58"/>
  <c r="BB58"/>
  <c r="AT58"/>
  <c r="AL58"/>
  <c r="CG57"/>
  <c r="BY57"/>
  <c r="BQ57"/>
  <c r="BI57"/>
  <c r="BA57"/>
  <c r="AS57"/>
  <c r="AK57"/>
  <c r="CF56"/>
  <c r="BX56"/>
  <c r="BP56"/>
  <c r="BH56"/>
  <c r="AZ56"/>
  <c r="AR56"/>
  <c r="AJ56"/>
  <c r="CE55"/>
  <c r="BW55"/>
  <c r="BO55"/>
  <c r="BG55"/>
  <c r="AY55"/>
  <c r="AQ55"/>
  <c r="AI55"/>
  <c r="CD54"/>
  <c r="BV54"/>
  <c r="BN54"/>
  <c r="BF54"/>
  <c r="AX54"/>
  <c r="AP54"/>
  <c r="CK53"/>
  <c r="CC53"/>
  <c r="BU53"/>
  <c r="BM53"/>
  <c r="BE53"/>
  <c r="AW53"/>
  <c r="AO53"/>
  <c r="CJ52"/>
  <c r="CB52"/>
  <c r="BT52"/>
  <c r="BL52"/>
  <c r="BD52"/>
  <c r="AV52"/>
  <c r="AN52"/>
  <c r="CI51"/>
  <c r="CA51"/>
  <c r="BS51"/>
  <c r="BK51"/>
  <c r="BC51"/>
  <c r="AU51"/>
  <c r="AM51"/>
  <c r="CH50"/>
  <c r="BZ50"/>
  <c r="BR50"/>
  <c r="BJ50"/>
  <c r="BB50"/>
  <c r="AT50"/>
  <c r="AL50"/>
  <c r="CG49"/>
  <c r="BY49"/>
  <c r="BQ49"/>
  <c r="BI49"/>
  <c r="BA49"/>
  <c r="AS49"/>
  <c r="AK49"/>
  <c r="CF48"/>
  <c r="BX48"/>
  <c r="BP48"/>
  <c r="BH48"/>
  <c r="AZ48"/>
  <c r="AR48"/>
  <c r="AJ48"/>
  <c r="CE47"/>
  <c r="BW47"/>
  <c r="BO47"/>
  <c r="BG47"/>
  <c r="AY47"/>
  <c r="AQ47"/>
  <c r="AI47"/>
  <c r="CD46"/>
  <c r="BV46"/>
  <c r="BN46"/>
  <c r="BF46"/>
  <c r="AX46"/>
  <c r="AP46"/>
  <c r="CK45"/>
  <c r="CC45"/>
  <c r="BU45"/>
  <c r="BM45"/>
  <c r="BE45"/>
  <c r="AW45"/>
  <c r="AO45"/>
  <c r="CJ44"/>
  <c r="CB44"/>
  <c r="BT44"/>
  <c r="BL44"/>
  <c r="BD44"/>
  <c r="AV44"/>
  <c r="AN44"/>
  <c r="CI43"/>
  <c r="CA43"/>
  <c r="BS43"/>
  <c r="BK43"/>
  <c r="BC43"/>
  <c r="AU43"/>
  <c r="AM43"/>
  <c r="CH42"/>
  <c r="BZ42"/>
  <c r="BR42"/>
  <c r="BJ42"/>
  <c r="BB42"/>
  <c r="AT42"/>
  <c r="AL42"/>
  <c r="CG41"/>
  <c r="BY41"/>
  <c r="BQ41"/>
  <c r="BI41"/>
  <c r="BA41"/>
  <c r="AS41"/>
  <c r="AK41"/>
  <c r="CF40"/>
  <c r="BX40"/>
  <c r="BP40"/>
  <c r="BH40"/>
  <c r="AZ40"/>
  <c r="AR40"/>
  <c r="AJ40"/>
  <c r="CE39"/>
  <c r="BW39"/>
  <c r="BO39"/>
  <c r="BG39"/>
  <c r="AY39"/>
  <c r="AQ39"/>
  <c r="BQ123"/>
  <c r="AN123"/>
  <c r="BH122"/>
  <c r="CE121"/>
  <c r="AY121"/>
  <c r="BS120"/>
  <c r="AP120"/>
  <c r="BJ119"/>
  <c r="CD118"/>
  <c r="BA118"/>
  <c r="BT117"/>
  <c r="AR117"/>
  <c r="BK116"/>
  <c r="CG115"/>
  <c r="BB115"/>
  <c r="BS114"/>
  <c r="AS114"/>
  <c r="BJ113"/>
  <c r="CF112"/>
  <c r="BA112"/>
  <c r="BV111"/>
  <c r="AR111"/>
  <c r="BM110"/>
  <c r="CJ109"/>
  <c r="BD109"/>
  <c r="BU108"/>
  <c r="AU108"/>
  <c r="BL107"/>
  <c r="CI106"/>
  <c r="BC106"/>
  <c r="BY105"/>
  <c r="AT105"/>
  <c r="BP104"/>
  <c r="CK103"/>
  <c r="BG103"/>
  <c r="BY102"/>
  <c r="AX102"/>
  <c r="BP101"/>
  <c r="CK100"/>
  <c r="BG100"/>
  <c r="BZ99"/>
  <c r="AX99"/>
  <c r="BQ98"/>
  <c r="AJ98"/>
  <c r="BH97"/>
  <c r="CA96"/>
  <c r="AY96"/>
  <c r="BR95"/>
  <c r="AL95"/>
  <c r="BI94"/>
  <c r="CB93"/>
  <c r="AZ93"/>
  <c r="BS92"/>
  <c r="AM92"/>
  <c r="BJ91"/>
  <c r="CI90"/>
  <c r="BJ90"/>
  <c r="CJ89"/>
  <c r="BH89"/>
  <c r="AJ89"/>
  <c r="BH88"/>
  <c r="AK88"/>
  <c r="BI87"/>
  <c r="AK87"/>
  <c r="BS86"/>
  <c r="AV86"/>
  <c r="CH85"/>
  <c r="BK85"/>
  <c r="AP85"/>
  <c r="BZ84"/>
  <c r="BD84"/>
  <c r="AL84"/>
  <c r="BS83"/>
  <c r="AY83"/>
  <c r="CH82"/>
  <c r="BK82"/>
  <c r="AT82"/>
  <c r="BZ81"/>
  <c r="BF81"/>
  <c r="AO81"/>
  <c r="CA80"/>
  <c r="BM80"/>
  <c r="AZ80"/>
  <c r="AJ80"/>
  <c r="BZ79"/>
  <c r="BL79"/>
  <c r="AV79"/>
  <c r="AI79"/>
  <c r="BY78"/>
  <c r="BI78"/>
  <c r="AU78"/>
  <c r="CK77"/>
  <c r="BU77"/>
  <c r="BH77"/>
  <c r="AT77"/>
  <c r="CG76"/>
  <c r="BT76"/>
  <c r="BG76"/>
  <c r="AQ76"/>
  <c r="CF75"/>
  <c r="BS75"/>
  <c r="BC75"/>
  <c r="AP75"/>
  <c r="CH74"/>
  <c r="BT74"/>
  <c r="BH74"/>
  <c r="AW74"/>
  <c r="AI74"/>
  <c r="CA73"/>
  <c r="BO73"/>
  <c r="BB73"/>
  <c r="AR73"/>
  <c r="CK72"/>
  <c r="BY72"/>
  <c r="BO72"/>
  <c r="BE72"/>
  <c r="AS72"/>
  <c r="AI72"/>
  <c r="CB71"/>
  <c r="BP71"/>
  <c r="BF71"/>
  <c r="AV71"/>
  <c r="AJ71"/>
  <c r="CC70"/>
  <c r="BS70"/>
  <c r="BG70"/>
  <c r="AW70"/>
  <c r="AM70"/>
  <c r="CD69"/>
  <c r="BT69"/>
  <c r="BJ69"/>
  <c r="AX69"/>
  <c r="AN69"/>
  <c r="CG68"/>
  <c r="BU68"/>
  <c r="BK68"/>
  <c r="BA68"/>
  <c r="AO68"/>
  <c r="CH67"/>
  <c r="BX67"/>
  <c r="BL67"/>
  <c r="BB67"/>
  <c r="AR67"/>
  <c r="CI66"/>
  <c r="BY66"/>
  <c r="BO66"/>
  <c r="BC66"/>
  <c r="AS66"/>
  <c r="AI66"/>
  <c r="BZ65"/>
  <c r="BP65"/>
  <c r="BF65"/>
  <c r="AT65"/>
  <c r="AJ65"/>
  <c r="CC64"/>
  <c r="BQ64"/>
  <c r="BG64"/>
  <c r="AW64"/>
  <c r="AK64"/>
  <c r="CD63"/>
  <c r="BT63"/>
  <c r="BH63"/>
  <c r="AX63"/>
  <c r="AN63"/>
  <c r="CE62"/>
  <c r="BU62"/>
  <c r="BK62"/>
  <c r="AY62"/>
  <c r="AO62"/>
  <c r="CH61"/>
  <c r="BV61"/>
  <c r="BL61"/>
  <c r="BB61"/>
  <c r="AP61"/>
  <c r="CI60"/>
  <c r="BY60"/>
  <c r="BN60"/>
  <c r="BE60"/>
  <c r="AV60"/>
  <c r="AM60"/>
  <c r="CG59"/>
  <c r="BX59"/>
  <c r="BO59"/>
  <c r="BE59"/>
  <c r="AW59"/>
  <c r="AO59"/>
  <c r="CJ58"/>
  <c r="CB58"/>
  <c r="BT58"/>
  <c r="BL58"/>
  <c r="BD58"/>
  <c r="AV58"/>
  <c r="AN58"/>
  <c r="CI57"/>
  <c r="CA57"/>
  <c r="BS57"/>
  <c r="BK57"/>
  <c r="BC57"/>
  <c r="AU57"/>
  <c r="AM57"/>
  <c r="CH56"/>
  <c r="BZ56"/>
  <c r="BR56"/>
  <c r="BJ56"/>
  <c r="BB56"/>
  <c r="AT56"/>
  <c r="AL56"/>
  <c r="CG55"/>
  <c r="BY55"/>
  <c r="BQ55"/>
  <c r="BI55"/>
  <c r="BA55"/>
  <c r="AS55"/>
  <c r="AK55"/>
  <c r="CF54"/>
  <c r="BX54"/>
  <c r="BP54"/>
  <c r="BH54"/>
  <c r="AZ54"/>
  <c r="AR54"/>
  <c r="AJ54"/>
  <c r="CE53"/>
  <c r="BW53"/>
  <c r="BO53"/>
  <c r="BG53"/>
  <c r="AY53"/>
  <c r="AQ53"/>
  <c r="AI53"/>
  <c r="CD52"/>
  <c r="BV52"/>
  <c r="BN52"/>
  <c r="BF52"/>
  <c r="AX52"/>
  <c r="AP52"/>
  <c r="CK51"/>
  <c r="CC51"/>
  <c r="BU51"/>
  <c r="BM51"/>
  <c r="BE51"/>
  <c r="AW51"/>
  <c r="AO51"/>
  <c r="CJ50"/>
  <c r="CB50"/>
  <c r="BT50"/>
  <c r="BL50"/>
  <c r="BD50"/>
  <c r="AV50"/>
  <c r="AN50"/>
  <c r="CI49"/>
  <c r="CA49"/>
  <c r="BS49"/>
  <c r="BK49"/>
  <c r="BC49"/>
  <c r="AU49"/>
  <c r="AM49"/>
  <c r="CH48"/>
  <c r="BZ48"/>
  <c r="BR48"/>
  <c r="BJ48"/>
  <c r="BB48"/>
  <c r="AT48"/>
  <c r="AL48"/>
  <c r="CG47"/>
  <c r="BY47"/>
  <c r="BQ47"/>
  <c r="BI47"/>
  <c r="BA47"/>
  <c r="AS47"/>
  <c r="AK47"/>
  <c r="CF46"/>
  <c r="BX46"/>
  <c r="BP46"/>
  <c r="BH46"/>
  <c r="AZ46"/>
  <c r="AR46"/>
  <c r="AJ46"/>
  <c r="CE45"/>
  <c r="BW45"/>
  <c r="BO45"/>
  <c r="BG45"/>
  <c r="AY45"/>
  <c r="AQ45"/>
  <c r="AI45"/>
  <c r="CD44"/>
  <c r="BV44"/>
  <c r="BN44"/>
  <c r="BF44"/>
  <c r="AX44"/>
  <c r="AP44"/>
  <c r="CK43"/>
  <c r="CC43"/>
  <c r="BU43"/>
  <c r="BM43"/>
  <c r="BE43"/>
  <c r="AW43"/>
  <c r="AO43"/>
  <c r="CJ42"/>
  <c r="CB42"/>
  <c r="BT42"/>
  <c r="BL42"/>
  <c r="BD42"/>
  <c r="AV42"/>
  <c r="AN42"/>
  <c r="CI41"/>
  <c r="CA41"/>
  <c r="BS41"/>
  <c r="BK41"/>
  <c r="BC41"/>
  <c r="AU41"/>
  <c r="AM41"/>
  <c r="CH40"/>
  <c r="BZ40"/>
  <c r="BR40"/>
  <c r="BJ40"/>
  <c r="BB40"/>
  <c r="AT40"/>
  <c r="AL40"/>
  <c r="CG39"/>
  <c r="BY39"/>
  <c r="BQ39"/>
  <c r="BI39"/>
  <c r="BA39"/>
  <c r="AS39"/>
  <c r="AK39"/>
  <c r="CF38"/>
  <c r="BX38"/>
  <c r="BP38"/>
  <c r="BH38"/>
  <c r="AZ38"/>
  <c r="AR38"/>
  <c r="AJ38"/>
  <c r="CE37"/>
  <c r="BW37"/>
  <c r="BO37"/>
  <c r="BG37"/>
  <c r="AY37"/>
  <c r="AQ37"/>
  <c r="AI37"/>
  <c r="CD36"/>
  <c r="BV36"/>
  <c r="BN36"/>
  <c r="BF36"/>
  <c r="AX36"/>
  <c r="AP36"/>
  <c r="CK35"/>
  <c r="CC35"/>
  <c r="BU35"/>
  <c r="BM35"/>
  <c r="BE35"/>
  <c r="AW35"/>
  <c r="AO35"/>
  <c r="CJ34"/>
  <c r="CB34"/>
  <c r="BT34"/>
  <c r="BL34"/>
  <c r="BD34"/>
  <c r="AV34"/>
  <c r="AN34"/>
  <c r="CI33"/>
  <c r="CA33"/>
  <c r="BS33"/>
  <c r="BK33"/>
  <c r="BC33"/>
  <c r="AU33"/>
  <c r="AM33"/>
  <c r="CH32"/>
  <c r="BZ32"/>
  <c r="BR32"/>
  <c r="BJ32"/>
  <c r="BB32"/>
  <c r="AT32"/>
  <c r="AL32"/>
  <c r="CG31"/>
  <c r="BY31"/>
  <c r="BQ31"/>
  <c r="BI31"/>
  <c r="BA31"/>
  <c r="AS31"/>
  <c r="AK31"/>
  <c r="CF30"/>
  <c r="BX30"/>
  <c r="BP30"/>
  <c r="BH30"/>
  <c r="AZ30"/>
  <c r="AR30"/>
  <c r="AJ30"/>
  <c r="CE29"/>
  <c r="BW29"/>
  <c r="BO29"/>
  <c r="BG29"/>
  <c r="AY29"/>
  <c r="AQ29"/>
  <c r="AI29"/>
  <c r="CD28"/>
  <c r="BV28"/>
  <c r="BN28"/>
  <c r="BF28"/>
  <c r="AX28"/>
  <c r="AP28"/>
  <c r="CK27"/>
  <c r="CC27"/>
  <c r="BU27"/>
  <c r="BM27"/>
  <c r="BE27"/>
  <c r="AW27"/>
  <c r="AO27"/>
  <c r="CJ26"/>
  <c r="CB26"/>
  <c r="BT26"/>
  <c r="BL26"/>
  <c r="BD26"/>
  <c r="AV26"/>
  <c r="AN26"/>
  <c r="CI25"/>
  <c r="CA25"/>
  <c r="BS25"/>
  <c r="BK25"/>
  <c r="BC25"/>
  <c r="AU25"/>
  <c r="AM25"/>
  <c r="CH24"/>
  <c r="BZ24"/>
  <c r="BR24"/>
  <c r="BJ24"/>
  <c r="BB24"/>
  <c r="AT24"/>
  <c r="AL24"/>
  <c r="CG23"/>
  <c r="BY23"/>
  <c r="BQ23"/>
  <c r="BI23"/>
  <c r="BA23"/>
  <c r="AS23"/>
  <c r="AK23"/>
  <c r="CF22"/>
  <c r="BX22"/>
  <c r="BP22"/>
  <c r="BH22"/>
  <c r="AZ22"/>
  <c r="AR22"/>
  <c r="AJ22"/>
  <c r="CE21"/>
  <c r="BW21"/>
  <c r="BO21"/>
  <c r="BG21"/>
  <c r="AY21"/>
  <c r="AQ21"/>
  <c r="AI21"/>
  <c r="CD20"/>
  <c r="BV20"/>
  <c r="BN20"/>
  <c r="BF20"/>
  <c r="AX20"/>
  <c r="AP20"/>
  <c r="CK19"/>
  <c r="CC19"/>
  <c r="BU19"/>
  <c r="BM19"/>
  <c r="BE19"/>
  <c r="AW19"/>
  <c r="AO19"/>
  <c r="CJ18"/>
  <c r="CB18"/>
  <c r="BT18"/>
  <c r="BL18"/>
  <c r="BD18"/>
  <c r="AV18"/>
  <c r="AN18"/>
  <c r="CI17"/>
  <c r="CA17"/>
  <c r="BS17"/>
  <c r="BK17"/>
  <c r="BC17"/>
  <c r="AU17"/>
  <c r="AM17"/>
  <c r="CH16"/>
  <c r="BZ16"/>
  <c r="BR16"/>
  <c r="BJ16"/>
  <c r="BB16"/>
  <c r="AT16"/>
  <c r="AL16"/>
  <c r="BW28"/>
  <c r="BS24"/>
  <c r="BR23"/>
  <c r="AT23"/>
  <c r="CG22"/>
  <c r="BQ22"/>
  <c r="BA22"/>
  <c r="AK22"/>
  <c r="BX21"/>
  <c r="BH21"/>
  <c r="AR21"/>
  <c r="CE20"/>
  <c r="BO20"/>
  <c r="AY20"/>
  <c r="AI20"/>
  <c r="BV19"/>
  <c r="BF19"/>
  <c r="AP19"/>
  <c r="CK18"/>
  <c r="BU18"/>
  <c r="BM18"/>
  <c r="AW18"/>
  <c r="AO18"/>
  <c r="CJ17"/>
  <c r="BT17"/>
  <c r="BL17"/>
  <c r="BD17"/>
  <c r="AV17"/>
  <c r="CI16"/>
  <c r="CA16"/>
  <c r="BV123"/>
  <c r="AP123"/>
  <c r="BK122"/>
  <c r="CJ121"/>
  <c r="BB121"/>
  <c r="BW120"/>
  <c r="AS120"/>
  <c r="BM119"/>
  <c r="AJ119"/>
  <c r="BD118"/>
  <c r="BX117"/>
  <c r="AU117"/>
  <c r="BL116"/>
  <c r="AL116"/>
  <c r="BC115"/>
  <c r="BY114"/>
  <c r="AT114"/>
  <c r="BO113"/>
  <c r="AK113"/>
  <c r="BF112"/>
  <c r="CC111"/>
  <c r="AW111"/>
  <c r="BN110"/>
  <c r="AN110"/>
  <c r="BE109"/>
  <c r="CB108"/>
  <c r="AV108"/>
  <c r="BR107"/>
  <c r="AM107"/>
  <c r="BI106"/>
  <c r="CB105"/>
  <c r="AZ105"/>
  <c r="BQ104"/>
  <c r="AQ104"/>
  <c r="BH103"/>
  <c r="CD102"/>
  <c r="AY102"/>
  <c r="BS101"/>
  <c r="AP101"/>
  <c r="BJ100"/>
  <c r="CD99"/>
  <c r="BA99"/>
  <c r="BS98"/>
  <c r="AR98"/>
  <c r="BJ97"/>
  <c r="CG96"/>
  <c r="BA96"/>
  <c r="BU95"/>
  <c r="AR95"/>
  <c r="BL94"/>
  <c r="CI93"/>
  <c r="BC93"/>
  <c r="BW92"/>
  <c r="AT92"/>
  <c r="BN91"/>
  <c r="CK90"/>
  <c r="BM90"/>
  <c r="AJ90"/>
  <c r="BP89"/>
  <c r="AK89"/>
  <c r="BK88"/>
  <c r="AL88"/>
  <c r="BJ87"/>
  <c r="AQ87"/>
  <c r="BT86"/>
  <c r="AY86"/>
  <c r="CI85"/>
  <c r="BM85"/>
  <c r="AU85"/>
  <c r="CB84"/>
  <c r="BH84"/>
  <c r="AN84"/>
  <c r="BT83"/>
  <c r="BC83"/>
  <c r="CI82"/>
  <c r="BO82"/>
  <c r="AU82"/>
  <c r="CC81"/>
  <c r="BJ81"/>
  <c r="AP81"/>
  <c r="CB80"/>
  <c r="BN80"/>
  <c r="BA80"/>
  <c r="AK80"/>
  <c r="CA79"/>
  <c r="BM79"/>
  <c r="AW79"/>
  <c r="AJ79"/>
  <c r="BZ78"/>
  <c r="BJ78"/>
  <c r="AV78"/>
  <c r="AI78"/>
  <c r="BV77"/>
  <c r="BI77"/>
  <c r="AU77"/>
  <c r="CH76"/>
  <c r="BU76"/>
  <c r="BH76"/>
  <c r="AR76"/>
  <c r="CG75"/>
  <c r="BT75"/>
  <c r="BD75"/>
  <c r="AQ75"/>
  <c r="CI74"/>
  <c r="BU74"/>
  <c r="BJ74"/>
  <c r="AX74"/>
  <c r="AJ74"/>
  <c r="CB73"/>
  <c r="BQ73"/>
  <c r="BC73"/>
  <c r="AS73"/>
  <c r="AI73"/>
  <c r="BZ72"/>
  <c r="BP72"/>
  <c r="BF72"/>
  <c r="AT72"/>
  <c r="AJ72"/>
  <c r="CC71"/>
  <c r="BQ71"/>
  <c r="BG71"/>
  <c r="AW71"/>
  <c r="AK71"/>
  <c r="CD70"/>
  <c r="BT70"/>
  <c r="BH70"/>
  <c r="AX70"/>
  <c r="AN70"/>
  <c r="CE69"/>
  <c r="BU69"/>
  <c r="BK69"/>
  <c r="AY69"/>
  <c r="AO69"/>
  <c r="CH68"/>
  <c r="BV68"/>
  <c r="BL68"/>
  <c r="BB68"/>
  <c r="AP68"/>
  <c r="CI67"/>
  <c r="BY67"/>
  <c r="BM67"/>
  <c r="BC67"/>
  <c r="AS67"/>
  <c r="CJ66"/>
  <c r="BZ66"/>
  <c r="BP66"/>
  <c r="BD66"/>
  <c r="AT66"/>
  <c r="AJ66"/>
  <c r="CA65"/>
  <c r="BQ65"/>
  <c r="BG65"/>
  <c r="AU65"/>
  <c r="AK65"/>
  <c r="CD64"/>
  <c r="BR64"/>
  <c r="BH64"/>
  <c r="AX64"/>
  <c r="AL64"/>
  <c r="CE63"/>
  <c r="BU63"/>
  <c r="BI63"/>
  <c r="AY63"/>
  <c r="AO63"/>
  <c r="CF62"/>
  <c r="BV62"/>
  <c r="BL62"/>
  <c r="AZ62"/>
  <c r="AP62"/>
  <c r="CI61"/>
  <c r="BW61"/>
  <c r="BM61"/>
  <c r="BC61"/>
  <c r="AQ61"/>
  <c r="CJ60"/>
  <c r="BZ60"/>
  <c r="BP60"/>
  <c r="BF60"/>
  <c r="AW60"/>
  <c r="AN60"/>
  <c r="CH59"/>
  <c r="BY59"/>
  <c r="BP59"/>
  <c r="BG59"/>
  <c r="AX59"/>
  <c r="AP59"/>
  <c r="CK58"/>
  <c r="CC58"/>
  <c r="BU58"/>
  <c r="BM58"/>
  <c r="BE58"/>
  <c r="AW58"/>
  <c r="AO58"/>
  <c r="CJ57"/>
  <c r="CB57"/>
  <c r="BT57"/>
  <c r="BL57"/>
  <c r="BD57"/>
  <c r="AV57"/>
  <c r="AN57"/>
  <c r="CI56"/>
  <c r="CA56"/>
  <c r="BS56"/>
  <c r="BK56"/>
  <c r="BC56"/>
  <c r="AU56"/>
  <c r="AM56"/>
  <c r="CH55"/>
  <c r="BZ55"/>
  <c r="BR55"/>
  <c r="BJ55"/>
  <c r="BB55"/>
  <c r="AT55"/>
  <c r="AL55"/>
  <c r="CG54"/>
  <c r="BY54"/>
  <c r="BQ54"/>
  <c r="BI54"/>
  <c r="BA54"/>
  <c r="AS54"/>
  <c r="AK54"/>
  <c r="CF53"/>
  <c r="BX53"/>
  <c r="BP53"/>
  <c r="BH53"/>
  <c r="AZ53"/>
  <c r="AR53"/>
  <c r="AJ53"/>
  <c r="CE52"/>
  <c r="BW52"/>
  <c r="BO52"/>
  <c r="BG52"/>
  <c r="AY52"/>
  <c r="AQ52"/>
  <c r="AI52"/>
  <c r="CD51"/>
  <c r="BV51"/>
  <c r="BN51"/>
  <c r="BF51"/>
  <c r="AX51"/>
  <c r="AP51"/>
  <c r="CK50"/>
  <c r="CC50"/>
  <c r="BU50"/>
  <c r="BM50"/>
  <c r="BE50"/>
  <c r="AW50"/>
  <c r="AO50"/>
  <c r="CJ49"/>
  <c r="CB49"/>
  <c r="BT49"/>
  <c r="BL49"/>
  <c r="BD49"/>
  <c r="AV49"/>
  <c r="AN49"/>
  <c r="CI48"/>
  <c r="CA48"/>
  <c r="BS48"/>
  <c r="BK48"/>
  <c r="BC48"/>
  <c r="AU48"/>
  <c r="AM48"/>
  <c r="CH47"/>
  <c r="BZ47"/>
  <c r="BR47"/>
  <c r="BJ47"/>
  <c r="BB47"/>
  <c r="AT47"/>
  <c r="AL47"/>
  <c r="CG46"/>
  <c r="BY46"/>
  <c r="BQ46"/>
  <c r="BI46"/>
  <c r="BA46"/>
  <c r="AS46"/>
  <c r="AK46"/>
  <c r="CF45"/>
  <c r="BX45"/>
  <c r="BP45"/>
  <c r="BH45"/>
  <c r="AZ45"/>
  <c r="AR45"/>
  <c r="AJ45"/>
  <c r="CE44"/>
  <c r="BW44"/>
  <c r="BO44"/>
  <c r="BG44"/>
  <c r="AY44"/>
  <c r="AQ44"/>
  <c r="AI44"/>
  <c r="CD43"/>
  <c r="BV43"/>
  <c r="BN43"/>
  <c r="BF43"/>
  <c r="AX43"/>
  <c r="AP43"/>
  <c r="CK42"/>
  <c r="CC42"/>
  <c r="BU42"/>
  <c r="BM42"/>
  <c r="BE42"/>
  <c r="AW42"/>
  <c r="AO42"/>
  <c r="CJ41"/>
  <c r="CB41"/>
  <c r="BT41"/>
  <c r="BL41"/>
  <c r="BD41"/>
  <c r="AV41"/>
  <c r="AN41"/>
  <c r="CI40"/>
  <c r="CA40"/>
  <c r="BS40"/>
  <c r="BK40"/>
  <c r="BC40"/>
  <c r="AU40"/>
  <c r="AM40"/>
  <c r="CH39"/>
  <c r="BZ39"/>
  <c r="BR39"/>
  <c r="BJ39"/>
  <c r="BB39"/>
  <c r="AT39"/>
  <c r="AL39"/>
  <c r="CG38"/>
  <c r="BY38"/>
  <c r="BQ38"/>
  <c r="BI38"/>
  <c r="BA38"/>
  <c r="AS38"/>
  <c r="AK38"/>
  <c r="CF37"/>
  <c r="BX37"/>
  <c r="BP37"/>
  <c r="BH37"/>
  <c r="AZ37"/>
  <c r="AR37"/>
  <c r="AJ37"/>
  <c r="CE36"/>
  <c r="BW36"/>
  <c r="BO36"/>
  <c r="BG36"/>
  <c r="AY36"/>
  <c r="AQ36"/>
  <c r="AI36"/>
  <c r="CD35"/>
  <c r="BV35"/>
  <c r="BN35"/>
  <c r="BF35"/>
  <c r="AX35"/>
  <c r="AP35"/>
  <c r="CK34"/>
  <c r="CC34"/>
  <c r="BU34"/>
  <c r="BM34"/>
  <c r="BE34"/>
  <c r="AW34"/>
  <c r="AO34"/>
  <c r="CJ33"/>
  <c r="CB33"/>
  <c r="BT33"/>
  <c r="BL33"/>
  <c r="BD33"/>
  <c r="AV33"/>
  <c r="AN33"/>
  <c r="CI32"/>
  <c r="CA32"/>
  <c r="BS32"/>
  <c r="BK32"/>
  <c r="BC32"/>
  <c r="AU32"/>
  <c r="AM32"/>
  <c r="CH31"/>
  <c r="BZ31"/>
  <c r="BR31"/>
  <c r="BJ31"/>
  <c r="BB31"/>
  <c r="AT31"/>
  <c r="AL31"/>
  <c r="CG30"/>
  <c r="BY30"/>
  <c r="BQ30"/>
  <c r="BI30"/>
  <c r="BA30"/>
  <c r="AS30"/>
  <c r="AK30"/>
  <c r="CF29"/>
  <c r="BX29"/>
  <c r="BP29"/>
  <c r="BH29"/>
  <c r="AZ29"/>
  <c r="AR29"/>
  <c r="AJ29"/>
  <c r="CE28"/>
  <c r="BO28"/>
  <c r="BG28"/>
  <c r="AY28"/>
  <c r="AQ28"/>
  <c r="AI28"/>
  <c r="CD27"/>
  <c r="BV27"/>
  <c r="BN27"/>
  <c r="BF27"/>
  <c r="AX27"/>
  <c r="AP27"/>
  <c r="CK26"/>
  <c r="CC26"/>
  <c r="BU26"/>
  <c r="BM26"/>
  <c r="BE26"/>
  <c r="AW26"/>
  <c r="AO26"/>
  <c r="CJ25"/>
  <c r="CB25"/>
  <c r="BT25"/>
  <c r="BL25"/>
  <c r="BD25"/>
  <c r="AV25"/>
  <c r="AN25"/>
  <c r="CI24"/>
  <c r="CA24"/>
  <c r="BK24"/>
  <c r="BC24"/>
  <c r="AU24"/>
  <c r="AM24"/>
  <c r="CH23"/>
  <c r="BZ23"/>
  <c r="BJ23"/>
  <c r="BB23"/>
  <c r="AL23"/>
  <c r="BY22"/>
  <c r="BI22"/>
  <c r="AS22"/>
  <c r="CF21"/>
  <c r="BP21"/>
  <c r="AZ21"/>
  <c r="AJ21"/>
  <c r="BW20"/>
  <c r="BG20"/>
  <c r="AQ20"/>
  <c r="CD19"/>
  <c r="BN19"/>
  <c r="AX19"/>
  <c r="CC18"/>
  <c r="BE18"/>
  <c r="CB17"/>
  <c r="AN17"/>
  <c r="AV123"/>
  <c r="AT122"/>
  <c r="BD121"/>
  <c r="BA120"/>
  <c r="BF119"/>
  <c r="BI118"/>
  <c r="BL117"/>
  <c r="BR116"/>
  <c r="BS115"/>
  <c r="BR114"/>
  <c r="BZ113"/>
  <c r="BX112"/>
  <c r="CH111"/>
  <c r="CE110"/>
  <c r="CC109"/>
  <c r="AJ109"/>
  <c r="CH107"/>
  <c r="AS107"/>
  <c r="AL106"/>
  <c r="AN105"/>
  <c r="AS104"/>
  <c r="AP103"/>
  <c r="BA102"/>
  <c r="AW101"/>
  <c r="BE100"/>
  <c r="BD99"/>
  <c r="BC98"/>
  <c r="BL97"/>
  <c r="BK96"/>
  <c r="BO95"/>
  <c r="BT94"/>
  <c r="BU93"/>
  <c r="CA92"/>
  <c r="CB91"/>
  <c r="CF90"/>
  <c r="AT90"/>
  <c r="AZ89"/>
  <c r="BR88"/>
  <c r="BX87"/>
  <c r="CK86"/>
  <c r="BF86"/>
  <c r="BY85"/>
  <c r="AW85"/>
  <c r="BP84"/>
  <c r="CJ83"/>
  <c r="BG83"/>
  <c r="BX82"/>
  <c r="AX82"/>
  <c r="BO81"/>
  <c r="AN81"/>
  <c r="BQ80"/>
  <c r="AS80"/>
  <c r="CB79"/>
  <c r="BD79"/>
  <c r="CJ78"/>
  <c r="BO78"/>
  <c r="AN78"/>
  <c r="BZ77"/>
  <c r="AZ77"/>
  <c r="CF76"/>
  <c r="BJ76"/>
  <c r="AL76"/>
  <c r="BV75"/>
  <c r="AX75"/>
  <c r="CD74"/>
  <c r="BL74"/>
  <c r="AQ74"/>
  <c r="CC73"/>
  <c r="BI73"/>
  <c r="AQ73"/>
  <c r="CD72"/>
  <c r="BJ72"/>
  <c r="AW72"/>
  <c r="CF71"/>
  <c r="BO71"/>
  <c r="AY71"/>
  <c r="CJ70"/>
  <c r="BU70"/>
  <c r="BC70"/>
  <c r="AJ70"/>
  <c r="BW69"/>
  <c r="BE69"/>
  <c r="AP69"/>
  <c r="CA68"/>
  <c r="BJ68"/>
  <c r="AT68"/>
  <c r="CC67"/>
  <c r="BP67"/>
  <c r="AV67"/>
  <c r="CH66"/>
  <c r="BR66"/>
  <c r="AZ66"/>
  <c r="AK66"/>
  <c r="BV65"/>
  <c r="BC65"/>
  <c r="AM65"/>
  <c r="BX64"/>
  <c r="BI64"/>
  <c r="AQ64"/>
  <c r="CC63"/>
  <c r="BM63"/>
  <c r="AS63"/>
  <c r="CI62"/>
  <c r="BO62"/>
  <c r="AX62"/>
  <c r="CK61"/>
  <c r="BS61"/>
  <c r="BD61"/>
  <c r="AL61"/>
  <c r="BV60"/>
  <c r="BI60"/>
  <c r="AS60"/>
  <c r="CI59"/>
  <c r="BS59"/>
  <c r="BD59"/>
  <c r="AR59"/>
  <c r="CG58"/>
  <c r="BV58"/>
  <c r="BH58"/>
  <c r="AU58"/>
  <c r="AI58"/>
  <c r="BX57"/>
  <c r="BM57"/>
  <c r="AY57"/>
  <c r="AL57"/>
  <c r="CC56"/>
  <c r="BO56"/>
  <c r="BD56"/>
  <c r="AP56"/>
  <c r="CF55"/>
  <c r="BT55"/>
  <c r="BF55"/>
  <c r="AU55"/>
  <c r="CJ54"/>
  <c r="BW54"/>
  <c r="BK54"/>
  <c r="AW54"/>
  <c r="AL54"/>
  <c r="CA53"/>
  <c r="BN53"/>
  <c r="BB53"/>
  <c r="AN53"/>
  <c r="CF52"/>
  <c r="BR52"/>
  <c r="BE52"/>
  <c r="AS52"/>
  <c r="CH51"/>
  <c r="BW51"/>
  <c r="BI51"/>
  <c r="AV51"/>
  <c r="AJ51"/>
  <c r="BY50"/>
  <c r="BN50"/>
  <c r="AZ50"/>
  <c r="AM50"/>
  <c r="CD49"/>
  <c r="BP49"/>
  <c r="BE49"/>
  <c r="AQ49"/>
  <c r="CG48"/>
  <c r="BU48"/>
  <c r="BG48"/>
  <c r="AV48"/>
  <c r="CK47"/>
  <c r="BX47"/>
  <c r="BL47"/>
  <c r="AX47"/>
  <c r="AM47"/>
  <c r="CB46"/>
  <c r="BO46"/>
  <c r="BC46"/>
  <c r="AO46"/>
  <c r="CG45"/>
  <c r="BS45"/>
  <c r="BF45"/>
  <c r="AT45"/>
  <c r="CI44"/>
  <c r="BX44"/>
  <c r="BJ44"/>
  <c r="AW44"/>
  <c r="AK44"/>
  <c r="BZ43"/>
  <c r="BO43"/>
  <c r="BA43"/>
  <c r="AN43"/>
  <c r="CE42"/>
  <c r="BQ42"/>
  <c r="BF42"/>
  <c r="AR42"/>
  <c r="CH41"/>
  <c r="BV41"/>
  <c r="BH41"/>
  <c r="AW41"/>
  <c r="AI41"/>
  <c r="BY40"/>
  <c r="BM40"/>
  <c r="AY40"/>
  <c r="AN40"/>
  <c r="CC39"/>
  <c r="BP39"/>
  <c r="BD39"/>
  <c r="AP39"/>
  <c r="CI38"/>
  <c r="BW38"/>
  <c r="BM38"/>
  <c r="BC38"/>
  <c r="AQ38"/>
  <c r="CJ37"/>
  <c r="BZ37"/>
  <c r="BN37"/>
  <c r="BD37"/>
  <c r="AT37"/>
  <c r="CK36"/>
  <c r="CA36"/>
  <c r="BQ36"/>
  <c r="BE36"/>
  <c r="AU36"/>
  <c r="AK36"/>
  <c r="CB35"/>
  <c r="BR35"/>
  <c r="BH35"/>
  <c r="AV35"/>
  <c r="AL35"/>
  <c r="CE34"/>
  <c r="BS34"/>
  <c r="BI34"/>
  <c r="AY34"/>
  <c r="AM34"/>
  <c r="CF33"/>
  <c r="BV33"/>
  <c r="BJ33"/>
  <c r="AZ33"/>
  <c r="AP33"/>
  <c r="CG32"/>
  <c r="BW32"/>
  <c r="BM32"/>
  <c r="BA32"/>
  <c r="AQ32"/>
  <c r="CJ31"/>
  <c r="BX31"/>
  <c r="BN31"/>
  <c r="BD31"/>
  <c r="AR31"/>
  <c r="CK30"/>
  <c r="CA30"/>
  <c r="BO30"/>
  <c r="BE30"/>
  <c r="AU30"/>
  <c r="AI30"/>
  <c r="CB29"/>
  <c r="BR29"/>
  <c r="BF29"/>
  <c r="AV29"/>
  <c r="AL29"/>
  <c r="CC28"/>
  <c r="BS28"/>
  <c r="BI28"/>
  <c r="AW28"/>
  <c r="AM28"/>
  <c r="CF27"/>
  <c r="BT27"/>
  <c r="BJ27"/>
  <c r="AZ27"/>
  <c r="AN27"/>
  <c r="CG26"/>
  <c r="BW26"/>
  <c r="BK26"/>
  <c r="BA26"/>
  <c r="AQ26"/>
  <c r="CH25"/>
  <c r="BX25"/>
  <c r="BN25"/>
  <c r="BB25"/>
  <c r="AR25"/>
  <c r="CK24"/>
  <c r="BY24"/>
  <c r="BO24"/>
  <c r="BE24"/>
  <c r="AS24"/>
  <c r="AI24"/>
  <c r="CB23"/>
  <c r="BP23"/>
  <c r="BF23"/>
  <c r="AV23"/>
  <c r="AJ23"/>
  <c r="CC22"/>
  <c r="BS22"/>
  <c r="BG22"/>
  <c r="AW22"/>
  <c r="AM22"/>
  <c r="CD21"/>
  <c r="BT21"/>
  <c r="BJ21"/>
  <c r="AX21"/>
  <c r="AN21"/>
  <c r="CG20"/>
  <c r="BU20"/>
  <c r="BK20"/>
  <c r="BA20"/>
  <c r="AO20"/>
  <c r="CH19"/>
  <c r="BX19"/>
  <c r="BL19"/>
  <c r="BB19"/>
  <c r="AR19"/>
  <c r="CI18"/>
  <c r="BY18"/>
  <c r="BO18"/>
  <c r="BC18"/>
  <c r="AS18"/>
  <c r="AI18"/>
  <c r="BZ17"/>
  <c r="BP17"/>
  <c r="BF17"/>
  <c r="AT17"/>
  <c r="AJ17"/>
  <c r="CC16"/>
  <c r="BS16"/>
  <c r="BI16"/>
  <c r="AZ16"/>
  <c r="AQ16"/>
  <c r="BJ123"/>
  <c r="BP122"/>
  <c r="BQ121"/>
  <c r="BO120"/>
  <c r="BX119"/>
  <c r="BU118"/>
  <c r="CF117"/>
  <c r="CB116"/>
  <c r="CA115"/>
  <c r="CI114"/>
  <c r="CG113"/>
  <c r="AN113"/>
  <c r="AK112"/>
  <c r="AJ111"/>
  <c r="AS110"/>
  <c r="AN109"/>
  <c r="BB108"/>
  <c r="AU107"/>
  <c r="BB106"/>
  <c r="BB105"/>
  <c r="BC104"/>
  <c r="BJ103"/>
  <c r="BL102"/>
  <c r="BN101"/>
  <c r="BS100"/>
  <c r="BR99"/>
  <c r="BZ98"/>
  <c r="BY97"/>
  <c r="BX96"/>
  <c r="CF95"/>
  <c r="CD94"/>
  <c r="AK94"/>
  <c r="CK92"/>
  <c r="CI91"/>
  <c r="AS91"/>
  <c r="AW90"/>
  <c r="BQ89"/>
  <c r="BW88"/>
  <c r="CF87"/>
  <c r="AT87"/>
  <c r="BJ86"/>
  <c r="CK85"/>
  <c r="BA85"/>
  <c r="BY84"/>
  <c r="AR84"/>
  <c r="BK83"/>
  <c r="AI83"/>
  <c r="BB82"/>
  <c r="BY81"/>
  <c r="AT81"/>
  <c r="BV80"/>
  <c r="BC80"/>
  <c r="CH79"/>
  <c r="BH79"/>
  <c r="AM79"/>
  <c r="BR78"/>
  <c r="AX78"/>
  <c r="CC77"/>
  <c r="BF77"/>
  <c r="AK77"/>
  <c r="BM76"/>
  <c r="AV76"/>
  <c r="BX75"/>
  <c r="BA75"/>
  <c r="CK74"/>
  <c r="BP74"/>
  <c r="AY74"/>
  <c r="CH73"/>
  <c r="BL73"/>
  <c r="AU73"/>
  <c r="CF72"/>
  <c r="BQ72"/>
  <c r="AY72"/>
  <c r="CK71"/>
  <c r="BU71"/>
  <c r="BA71"/>
  <c r="AN71"/>
  <c r="BW70"/>
  <c r="BF70"/>
  <c r="AP70"/>
  <c r="CA69"/>
  <c r="BL69"/>
  <c r="AT69"/>
  <c r="CD68"/>
  <c r="BN68"/>
  <c r="AV68"/>
  <c r="CJ67"/>
  <c r="BR67"/>
  <c r="BA67"/>
  <c r="AK67"/>
  <c r="BT66"/>
  <c r="BG66"/>
  <c r="AM66"/>
  <c r="BY65"/>
  <c r="BI65"/>
  <c r="AQ65"/>
  <c r="CE64"/>
  <c r="BM64"/>
  <c r="AT64"/>
  <c r="CG63"/>
  <c r="BO63"/>
  <c r="AZ63"/>
  <c r="CK62"/>
  <c r="BT62"/>
  <c r="BD62"/>
  <c r="AJ62"/>
  <c r="BZ61"/>
  <c r="BF61"/>
  <c r="AO61"/>
  <c r="CB60"/>
  <c r="BK60"/>
  <c r="AX60"/>
  <c r="CK59"/>
  <c r="BW59"/>
  <c r="BI59"/>
  <c r="AT59"/>
  <c r="AI59"/>
  <c r="BX58"/>
  <c r="BK58"/>
  <c r="AY58"/>
  <c r="AK58"/>
  <c r="CC57"/>
  <c r="BO57"/>
  <c r="BB57"/>
  <c r="AP57"/>
  <c r="CE56"/>
  <c r="BT56"/>
  <c r="BF56"/>
  <c r="AS56"/>
  <c r="CJ55"/>
  <c r="BV55"/>
  <c r="BK55"/>
  <c r="AW55"/>
  <c r="AJ55"/>
  <c r="CA54"/>
  <c r="BM54"/>
  <c r="BB54"/>
  <c r="AN54"/>
  <c r="CD53"/>
  <c r="BR53"/>
  <c r="BD53"/>
  <c r="AS53"/>
  <c r="CH52"/>
  <c r="BU52"/>
  <c r="BI52"/>
  <c r="AU52"/>
  <c r="AJ52"/>
  <c r="BY51"/>
  <c r="BL51"/>
  <c r="AZ51"/>
  <c r="AL51"/>
  <c r="CD50"/>
  <c r="BP50"/>
  <c r="BC50"/>
  <c r="AQ50"/>
  <c r="CF49"/>
  <c r="BU49"/>
  <c r="BG49"/>
  <c r="AT49"/>
  <c r="CK48"/>
  <c r="BW48"/>
  <c r="BL48"/>
  <c r="AX48"/>
  <c r="AK48"/>
  <c r="CB47"/>
  <c r="BN47"/>
  <c r="BC47"/>
  <c r="AO47"/>
  <c r="CE46"/>
  <c r="BS46"/>
  <c r="BE46"/>
  <c r="AT46"/>
  <c r="CI45"/>
  <c r="BV45"/>
  <c r="BJ45"/>
  <c r="AV45"/>
  <c r="AK45"/>
  <c r="BZ44"/>
  <c r="BM44"/>
  <c r="BA44"/>
  <c r="AM44"/>
  <c r="CE43"/>
  <c r="BQ43"/>
  <c r="BD43"/>
  <c r="AR43"/>
  <c r="CG42"/>
  <c r="BV42"/>
  <c r="BH42"/>
  <c r="AU42"/>
  <c r="AI42"/>
  <c r="BX41"/>
  <c r="BM41"/>
  <c r="AY41"/>
  <c r="AL41"/>
  <c r="CC40"/>
  <c r="BO40"/>
  <c r="BD40"/>
  <c r="AP40"/>
  <c r="CF39"/>
  <c r="BT39"/>
  <c r="BF39"/>
  <c r="AU39"/>
  <c r="CK38"/>
  <c r="CA38"/>
  <c r="BO38"/>
  <c r="BE38"/>
  <c r="AU38"/>
  <c r="AI38"/>
  <c r="CB37"/>
  <c r="BR37"/>
  <c r="BF37"/>
  <c r="AV37"/>
  <c r="AL37"/>
  <c r="CC36"/>
  <c r="BS36"/>
  <c r="BI36"/>
  <c r="AW36"/>
  <c r="AM36"/>
  <c r="CF35"/>
  <c r="BT35"/>
  <c r="BJ35"/>
  <c r="AZ35"/>
  <c r="AN35"/>
  <c r="CG34"/>
  <c r="BW34"/>
  <c r="BK34"/>
  <c r="BA34"/>
  <c r="AQ34"/>
  <c r="CH33"/>
  <c r="BX33"/>
  <c r="BN33"/>
  <c r="BB33"/>
  <c r="AR33"/>
  <c r="CK32"/>
  <c r="BY32"/>
  <c r="BO32"/>
  <c r="BE32"/>
  <c r="AS32"/>
  <c r="AI32"/>
  <c r="CB31"/>
  <c r="BP31"/>
  <c r="BF31"/>
  <c r="AV31"/>
  <c r="AJ31"/>
  <c r="CC30"/>
  <c r="BS30"/>
  <c r="BG30"/>
  <c r="AW30"/>
  <c r="AM30"/>
  <c r="CD29"/>
  <c r="BT29"/>
  <c r="BJ29"/>
  <c r="AX29"/>
  <c r="AN29"/>
  <c r="CG28"/>
  <c r="BU28"/>
  <c r="BK28"/>
  <c r="BA28"/>
  <c r="AO28"/>
  <c r="CH27"/>
  <c r="BX27"/>
  <c r="BL27"/>
  <c r="BB27"/>
  <c r="AR27"/>
  <c r="CI26"/>
  <c r="BY26"/>
  <c r="BO26"/>
  <c r="BC26"/>
  <c r="AS26"/>
  <c r="AI26"/>
  <c r="BZ25"/>
  <c r="BP25"/>
  <c r="BF25"/>
  <c r="AT25"/>
  <c r="AJ25"/>
  <c r="CC24"/>
  <c r="BQ24"/>
  <c r="BG24"/>
  <c r="AW24"/>
  <c r="AK24"/>
  <c r="CD23"/>
  <c r="BT23"/>
  <c r="BH23"/>
  <c r="AX23"/>
  <c r="AN23"/>
  <c r="CE22"/>
  <c r="BU22"/>
  <c r="BK22"/>
  <c r="AY22"/>
  <c r="AO22"/>
  <c r="CH21"/>
  <c r="BV21"/>
  <c r="BL21"/>
  <c r="BB21"/>
  <c r="AP21"/>
  <c r="CI20"/>
  <c r="BY20"/>
  <c r="BM20"/>
  <c r="BC20"/>
  <c r="AS20"/>
  <c r="CJ19"/>
  <c r="BZ19"/>
  <c r="BP19"/>
  <c r="BD19"/>
  <c r="AT19"/>
  <c r="AJ19"/>
  <c r="CA18"/>
  <c r="BQ18"/>
  <c r="BG18"/>
  <c r="AU18"/>
  <c r="AK18"/>
  <c r="CD17"/>
  <c r="BR17"/>
  <c r="BH17"/>
  <c r="AX17"/>
  <c r="AL17"/>
  <c r="CE16"/>
  <c r="BU16"/>
  <c r="BL16"/>
  <c r="BC16"/>
  <c r="AS16"/>
  <c r="AJ16"/>
  <c r="BZ122"/>
  <c r="BS73"/>
  <c r="AZ64"/>
  <c r="BK59"/>
  <c r="AR57"/>
  <c r="CA55"/>
  <c r="BR54"/>
  <c r="CH53"/>
  <c r="AU53"/>
  <c r="BK52"/>
  <c r="CB51"/>
  <c r="BB51"/>
  <c r="BS50"/>
  <c r="AS50"/>
  <c r="BW49"/>
  <c r="AX49"/>
  <c r="CB48"/>
  <c r="BA48"/>
  <c r="CD47"/>
  <c r="BE47"/>
  <c r="CI46"/>
  <c r="BJ46"/>
  <c r="AI46"/>
  <c r="BA45"/>
  <c r="CC44"/>
  <c r="AR44"/>
  <c r="BT43"/>
  <c r="AT43"/>
  <c r="BX42"/>
  <c r="AY42"/>
  <c r="CC41"/>
  <c r="BB41"/>
  <c r="CE40"/>
  <c r="BF40"/>
  <c r="BV39"/>
  <c r="AJ39"/>
  <c r="BG38"/>
  <c r="CD37"/>
  <c r="BJ37"/>
  <c r="AN37"/>
  <c r="BU36"/>
  <c r="BA36"/>
  <c r="CH35"/>
  <c r="BB35"/>
  <c r="BY34"/>
  <c r="AS34"/>
  <c r="BP33"/>
  <c r="AT33"/>
  <c r="CC32"/>
  <c r="BG32"/>
  <c r="AK32"/>
  <c r="BT31"/>
  <c r="AX31"/>
  <c r="BN123"/>
  <c r="BY122"/>
  <c r="BR121"/>
  <c r="CF120"/>
  <c r="BZ119"/>
  <c r="CB118"/>
  <c r="CI117"/>
  <c r="CC116"/>
  <c r="AM116"/>
  <c r="CK114"/>
  <c r="AK114"/>
  <c r="AQ113"/>
  <c r="AM112"/>
  <c r="AX111"/>
  <c r="AV110"/>
  <c r="AZ109"/>
  <c r="BC108"/>
  <c r="BA107"/>
  <c r="BJ106"/>
  <c r="BH105"/>
  <c r="BK104"/>
  <c r="BO103"/>
  <c r="BQ102"/>
  <c r="BV101"/>
  <c r="BZ100"/>
  <c r="BY99"/>
  <c r="CG98"/>
  <c r="CE97"/>
  <c r="AK97"/>
  <c r="AI96"/>
  <c r="CJ94"/>
  <c r="AP94"/>
  <c r="AJ93"/>
  <c r="AW92"/>
  <c r="AT91"/>
  <c r="BD90"/>
  <c r="BR89"/>
  <c r="BX88"/>
  <c r="AM88"/>
  <c r="AV87"/>
  <c r="BR86"/>
  <c r="AI86"/>
  <c r="BC85"/>
  <c r="CC84"/>
  <c r="AT84"/>
  <c r="BQ83"/>
  <c r="AK83"/>
  <c r="BG82"/>
  <c r="CE81"/>
  <c r="AX81"/>
  <c r="BY80"/>
  <c r="BD80"/>
  <c r="CI79"/>
  <c r="BO79"/>
  <c r="AQ79"/>
  <c r="BT78"/>
  <c r="AY78"/>
  <c r="CD77"/>
  <c r="BJ77"/>
  <c r="AL77"/>
  <c r="BR76"/>
  <c r="AW76"/>
  <c r="BY75"/>
  <c r="BH75"/>
  <c r="AI75"/>
  <c r="BS74"/>
  <c r="AZ74"/>
  <c r="CI73"/>
  <c r="BR73"/>
  <c r="AX73"/>
  <c r="CH72"/>
  <c r="BR72"/>
  <c r="AZ72"/>
  <c r="AK72"/>
  <c r="BV71"/>
  <c r="BE71"/>
  <c r="AO71"/>
  <c r="BX70"/>
  <c r="BK70"/>
  <c r="AQ70"/>
  <c r="CC69"/>
  <c r="BM69"/>
  <c r="AU69"/>
  <c r="CI68"/>
  <c r="BQ68"/>
  <c r="AX68"/>
  <c r="CK67"/>
  <c r="BS67"/>
  <c r="BD67"/>
  <c r="AL67"/>
  <c r="BX66"/>
  <c r="BH66"/>
  <c r="AN66"/>
  <c r="CD65"/>
  <c r="BJ65"/>
  <c r="AS65"/>
  <c r="CF64"/>
  <c r="BN64"/>
  <c r="AY64"/>
  <c r="CJ63"/>
  <c r="BQ63"/>
  <c r="BA63"/>
  <c r="AI63"/>
  <c r="BW62"/>
  <c r="BE62"/>
  <c r="AN62"/>
  <c r="CA61"/>
  <c r="BG61"/>
  <c r="AT61"/>
  <c r="CC60"/>
  <c r="BM60"/>
  <c r="AZ60"/>
  <c r="AJ60"/>
  <c r="BZ59"/>
  <c r="BJ59"/>
  <c r="AV59"/>
  <c r="AJ59"/>
  <c r="BY58"/>
  <c r="BN58"/>
  <c r="AZ58"/>
  <c r="AM58"/>
  <c r="CD57"/>
  <c r="BP57"/>
  <c r="BE57"/>
  <c r="AQ57"/>
  <c r="CG56"/>
  <c r="BU56"/>
  <c r="BG56"/>
  <c r="AV56"/>
  <c r="CK55"/>
  <c r="BX55"/>
  <c r="BL55"/>
  <c r="AX55"/>
  <c r="AM55"/>
  <c r="CB54"/>
  <c r="BO54"/>
  <c r="BC54"/>
  <c r="AO54"/>
  <c r="CG53"/>
  <c r="BS53"/>
  <c r="BF53"/>
  <c r="AT53"/>
  <c r="CI52"/>
  <c r="BX52"/>
  <c r="BJ52"/>
  <c r="AW52"/>
  <c r="AK52"/>
  <c r="BZ51"/>
  <c r="BO51"/>
  <c r="BA51"/>
  <c r="AN51"/>
  <c r="CE50"/>
  <c r="BQ50"/>
  <c r="BF50"/>
  <c r="AR50"/>
  <c r="CH49"/>
  <c r="BV49"/>
  <c r="BH49"/>
  <c r="AW49"/>
  <c r="AI49"/>
  <c r="BY48"/>
  <c r="BM48"/>
  <c r="AY48"/>
  <c r="AN48"/>
  <c r="CC47"/>
  <c r="BP47"/>
  <c r="BD47"/>
  <c r="AP47"/>
  <c r="CH46"/>
  <c r="BT46"/>
  <c r="BG46"/>
  <c r="AU46"/>
  <c r="CJ45"/>
  <c r="BY45"/>
  <c r="BK45"/>
  <c r="AX45"/>
  <c r="AL45"/>
  <c r="CA44"/>
  <c r="BP44"/>
  <c r="BB44"/>
  <c r="AO44"/>
  <c r="CF43"/>
  <c r="BR43"/>
  <c r="BG43"/>
  <c r="AS43"/>
  <c r="CI42"/>
  <c r="BW42"/>
  <c r="BI42"/>
  <c r="AX42"/>
  <c r="AJ42"/>
  <c r="BZ41"/>
  <c r="BN41"/>
  <c r="AZ41"/>
  <c r="AO41"/>
  <c r="CD40"/>
  <c r="BQ40"/>
  <c r="BE40"/>
  <c r="AQ40"/>
  <c r="CI39"/>
  <c r="BU39"/>
  <c r="BH39"/>
  <c r="AV39"/>
  <c r="AI39"/>
  <c r="CB38"/>
  <c r="BR38"/>
  <c r="BF38"/>
  <c r="AV38"/>
  <c r="AL38"/>
  <c r="CC37"/>
  <c r="BS37"/>
  <c r="BI37"/>
  <c r="AW37"/>
  <c r="AM37"/>
  <c r="CF36"/>
  <c r="BT36"/>
  <c r="BJ36"/>
  <c r="AZ36"/>
  <c r="AN36"/>
  <c r="CG35"/>
  <c r="BW35"/>
  <c r="BK35"/>
  <c r="BA35"/>
  <c r="AQ35"/>
  <c r="CH34"/>
  <c r="BX34"/>
  <c r="BN34"/>
  <c r="BB34"/>
  <c r="AR34"/>
  <c r="CK33"/>
  <c r="BY33"/>
  <c r="BO33"/>
  <c r="BE33"/>
  <c r="AS33"/>
  <c r="AI33"/>
  <c r="CB32"/>
  <c r="BP32"/>
  <c r="BF32"/>
  <c r="AV32"/>
  <c r="AJ32"/>
  <c r="CC31"/>
  <c r="BS31"/>
  <c r="BG31"/>
  <c r="AW31"/>
  <c r="AM31"/>
  <c r="CD30"/>
  <c r="BT30"/>
  <c r="BJ30"/>
  <c r="AX30"/>
  <c r="AN30"/>
  <c r="CG29"/>
  <c r="BU29"/>
  <c r="BK29"/>
  <c r="BA29"/>
  <c r="AO29"/>
  <c r="CH28"/>
  <c r="BX28"/>
  <c r="BL28"/>
  <c r="BB28"/>
  <c r="AR28"/>
  <c r="CI27"/>
  <c r="BY27"/>
  <c r="BO27"/>
  <c r="BC27"/>
  <c r="AS27"/>
  <c r="AI27"/>
  <c r="BZ26"/>
  <c r="BP26"/>
  <c r="BF26"/>
  <c r="AT26"/>
  <c r="AJ26"/>
  <c r="CC25"/>
  <c r="BQ25"/>
  <c r="BG25"/>
  <c r="AW25"/>
  <c r="AK25"/>
  <c r="CD24"/>
  <c r="BT24"/>
  <c r="BH24"/>
  <c r="AX24"/>
  <c r="AN24"/>
  <c r="CE23"/>
  <c r="BU23"/>
  <c r="BK23"/>
  <c r="AY23"/>
  <c r="AO23"/>
  <c r="CH22"/>
  <c r="BV22"/>
  <c r="BL22"/>
  <c r="BB22"/>
  <c r="AP22"/>
  <c r="CI21"/>
  <c r="BY21"/>
  <c r="BM21"/>
  <c r="BC21"/>
  <c r="AS21"/>
  <c r="CJ20"/>
  <c r="BZ20"/>
  <c r="BP20"/>
  <c r="BD20"/>
  <c r="AT20"/>
  <c r="AJ20"/>
  <c r="CA19"/>
  <c r="BQ19"/>
  <c r="BG19"/>
  <c r="AU19"/>
  <c r="AK19"/>
  <c r="CD18"/>
  <c r="BR18"/>
  <c r="BH18"/>
  <c r="AX18"/>
  <c r="AL18"/>
  <c r="CE17"/>
  <c r="BU17"/>
  <c r="BI17"/>
  <c r="AY17"/>
  <c r="AO17"/>
  <c r="CF16"/>
  <c r="BV16"/>
  <c r="BM16"/>
  <c r="BD16"/>
  <c r="AU16"/>
  <c r="AK16"/>
  <c r="CB123"/>
  <c r="BX121"/>
  <c r="CG120"/>
  <c r="CD119"/>
  <c r="AL119"/>
  <c r="CK117"/>
  <c r="CK116"/>
  <c r="AO116"/>
  <c r="AM115"/>
  <c r="AW114"/>
  <c r="AT113"/>
  <c r="AZ112"/>
  <c r="BB111"/>
  <c r="AY110"/>
  <c r="BK109"/>
  <c r="BG108"/>
  <c r="BK107"/>
  <c r="BP106"/>
  <c r="BP105"/>
  <c r="BW104"/>
  <c r="BW103"/>
  <c r="BW102"/>
  <c r="CD101"/>
  <c r="CA100"/>
  <c r="AI100"/>
  <c r="CH98"/>
  <c r="CG97"/>
  <c r="AL97"/>
  <c r="AJ96"/>
  <c r="AT95"/>
  <c r="AQ94"/>
  <c r="AU93"/>
  <c r="AY92"/>
  <c r="AV91"/>
  <c r="BP90"/>
  <c r="BT89"/>
  <c r="CH88"/>
  <c r="AQ88"/>
  <c r="AZ87"/>
  <c r="BV86"/>
  <c r="AM86"/>
  <c r="BJ85"/>
  <c r="CG84"/>
  <c r="AZ84"/>
  <c r="BX83"/>
  <c r="AQ83"/>
  <c r="BJ82"/>
  <c r="CK81"/>
  <c r="AY81"/>
  <c r="CF80"/>
  <c r="BE80"/>
  <c r="CK79"/>
  <c r="BP79"/>
  <c r="AR79"/>
  <c r="CA78"/>
  <c r="BC78"/>
  <c r="CG77"/>
  <c r="BK77"/>
  <c r="AM77"/>
  <c r="BW76"/>
  <c r="AY76"/>
  <c r="CE75"/>
  <c r="BI75"/>
  <c r="AJ75"/>
  <c r="BX74"/>
  <c r="BB74"/>
  <c r="CK73"/>
  <c r="AY73"/>
  <c r="AJ73"/>
  <c r="BU72"/>
  <c r="BB72"/>
  <c r="AL72"/>
  <c r="BW71"/>
  <c r="BH71"/>
  <c r="AP71"/>
  <c r="CB70"/>
  <c r="BL70"/>
  <c r="AR70"/>
  <c r="CH69"/>
  <c r="BN69"/>
  <c r="AW69"/>
  <c r="CJ68"/>
  <c r="BR68"/>
  <c r="BC68"/>
  <c r="AK68"/>
  <c r="BU67"/>
  <c r="BE67"/>
  <c r="AM67"/>
  <c r="CA66"/>
  <c r="BI66"/>
  <c r="AR66"/>
  <c r="CE65"/>
  <c r="BK65"/>
  <c r="AX65"/>
  <c r="CG64"/>
  <c r="BP64"/>
  <c r="CK63"/>
  <c r="BV63"/>
  <c r="BD63"/>
  <c r="AK63"/>
  <c r="BX62"/>
  <c r="BF62"/>
  <c r="AQ62"/>
  <c r="CB61"/>
  <c r="BK61"/>
  <c r="AU61"/>
  <c r="CD60"/>
  <c r="BQ60"/>
  <c r="BA60"/>
  <c r="AL60"/>
  <c r="CA59"/>
  <c r="AY59"/>
  <c r="AK59"/>
  <c r="CA58"/>
  <c r="BO58"/>
  <c r="BA58"/>
  <c r="AP58"/>
  <c r="CE57"/>
  <c r="BR57"/>
  <c r="BF57"/>
  <c r="CJ56"/>
  <c r="BV56"/>
  <c r="BI56"/>
  <c r="AW56"/>
  <c r="AI56"/>
  <c r="BM55"/>
  <c r="AZ55"/>
  <c r="AN55"/>
  <c r="CC54"/>
  <c r="BD54"/>
  <c r="AQ54"/>
  <c r="BT53"/>
  <c r="BI53"/>
  <c r="CK52"/>
  <c r="BY52"/>
  <c r="AZ52"/>
  <c r="AL52"/>
  <c r="BP51"/>
  <c r="AQ51"/>
  <c r="CF50"/>
  <c r="BG50"/>
  <c r="CK49"/>
  <c r="BJ49"/>
  <c r="AJ49"/>
  <c r="BN48"/>
  <c r="AO48"/>
  <c r="BS47"/>
  <c r="AR47"/>
  <c r="BU46"/>
  <c r="AV46"/>
  <c r="BZ45"/>
  <c r="BL45"/>
  <c r="AM45"/>
  <c r="BQ44"/>
  <c r="BC44"/>
  <c r="CG43"/>
  <c r="BH43"/>
  <c r="AI43"/>
  <c r="BK42"/>
  <c r="AK42"/>
  <c r="BO41"/>
  <c r="AP41"/>
  <c r="BT40"/>
  <c r="AS40"/>
  <c r="CJ39"/>
  <c r="BK39"/>
  <c r="AW39"/>
  <c r="CC38"/>
  <c r="BS38"/>
  <c r="AW38"/>
  <c r="AM38"/>
  <c r="BT37"/>
  <c r="AX37"/>
  <c r="CG36"/>
  <c r="BK36"/>
  <c r="AO36"/>
  <c r="BX35"/>
  <c r="BL35"/>
  <c r="AR35"/>
  <c r="CI34"/>
  <c r="BO34"/>
  <c r="BC34"/>
  <c r="AI34"/>
  <c r="BZ33"/>
  <c r="BF33"/>
  <c r="AJ33"/>
  <c r="BQ32"/>
  <c r="AW32"/>
  <c r="CD31"/>
  <c r="BH31"/>
  <c r="BE122"/>
  <c r="BI120"/>
  <c r="BQ118"/>
  <c r="BZ116"/>
  <c r="CG114"/>
  <c r="CA112"/>
  <c r="CG110"/>
  <c r="AM109"/>
  <c r="AT107"/>
  <c r="BA105"/>
  <c r="BB103"/>
  <c r="BD101"/>
  <c r="BK99"/>
  <c r="BR97"/>
  <c r="BZ95"/>
  <c r="CA93"/>
  <c r="CD91"/>
  <c r="AU90"/>
  <c r="BS88"/>
  <c r="AR87"/>
  <c r="CC85"/>
  <c r="BQ84"/>
  <c r="BH83"/>
  <c r="AY82"/>
  <c r="AQ81"/>
  <c r="AV80"/>
  <c r="BE79"/>
  <c r="BQ78"/>
  <c r="CA77"/>
  <c r="AJ77"/>
  <c r="AO76"/>
  <c r="AY75"/>
  <c r="BO74"/>
  <c r="CD73"/>
  <c r="AT73"/>
  <c r="BN72"/>
  <c r="CG71"/>
  <c r="AZ71"/>
  <c r="BV70"/>
  <c r="AO70"/>
  <c r="BG69"/>
  <c r="CB68"/>
  <c r="AU68"/>
  <c r="BQ67"/>
  <c r="AJ67"/>
  <c r="BB66"/>
  <c r="BW65"/>
  <c r="AP65"/>
  <c r="BJ64"/>
  <c r="CF63"/>
  <c r="AW63"/>
  <c r="BP62"/>
  <c r="AI62"/>
  <c r="BE61"/>
  <c r="CA60"/>
  <c r="AU60"/>
  <c r="BT59"/>
  <c r="AS59"/>
  <c r="BW58"/>
  <c r="AX58"/>
  <c r="BZ57"/>
  <c r="AZ57"/>
  <c r="CD56"/>
  <c r="BE56"/>
  <c r="CI55"/>
  <c r="BH55"/>
  <c r="CK54"/>
  <c r="BL54"/>
  <c r="AM54"/>
  <c r="BQ53"/>
  <c r="AP53"/>
  <c r="BS52"/>
  <c r="AT52"/>
  <c r="BX51"/>
  <c r="AY51"/>
  <c r="CA50"/>
  <c r="BA50"/>
  <c r="CE49"/>
  <c r="BF49"/>
  <c r="CJ48"/>
  <c r="BI48"/>
  <c r="AI48"/>
  <c r="BM47"/>
  <c r="AN47"/>
  <c r="BR46"/>
  <c r="AQ46"/>
  <c r="BT45"/>
  <c r="AU45"/>
  <c r="BY44"/>
  <c r="AZ44"/>
  <c r="CB43"/>
  <c r="BB43"/>
  <c r="CF42"/>
  <c r="BG42"/>
  <c r="CK41"/>
  <c r="BJ41"/>
  <c r="AJ41"/>
  <c r="BN40"/>
  <c r="AO40"/>
  <c r="BS39"/>
  <c r="AR39"/>
  <c r="BZ38"/>
  <c r="BD38"/>
  <c r="CK37"/>
  <c r="BQ37"/>
  <c r="AU37"/>
  <c r="CB36"/>
  <c r="BH36"/>
  <c r="AL36"/>
  <c r="BS35"/>
  <c r="AY35"/>
  <c r="CF34"/>
  <c r="BJ34"/>
  <c r="AP34"/>
  <c r="BW33"/>
  <c r="BA33"/>
  <c r="CJ32"/>
  <c r="BN32"/>
  <c r="AR32"/>
  <c r="CA31"/>
  <c r="BE31"/>
  <c r="AN31"/>
  <c r="BW30"/>
  <c r="BF30"/>
  <c r="AP30"/>
  <c r="CA29"/>
  <c r="BL29"/>
  <c r="AT29"/>
  <c r="CF28"/>
  <c r="BP28"/>
  <c r="AV28"/>
  <c r="CJ27"/>
  <c r="BR27"/>
  <c r="BA27"/>
  <c r="AK27"/>
  <c r="BV26"/>
  <c r="BG26"/>
  <c r="AM26"/>
  <c r="BY25"/>
  <c r="BI25"/>
  <c r="AQ25"/>
  <c r="CE24"/>
  <c r="CK122"/>
  <c r="AJ121"/>
  <c r="AQ119"/>
  <c r="AX117"/>
  <c r="BF115"/>
  <c r="BI113"/>
  <c r="BO111"/>
  <c r="BV109"/>
  <c r="CD107"/>
  <c r="AJ106"/>
  <c r="CF103"/>
  <c r="CJ101"/>
  <c r="AN100"/>
  <c r="AU98"/>
  <c r="BC96"/>
  <c r="BF94"/>
  <c r="BE92"/>
  <c r="BT90"/>
  <c r="AQ89"/>
  <c r="BO87"/>
  <c r="AU86"/>
  <c r="AK85"/>
  <c r="CE83"/>
  <c r="BV82"/>
  <c r="BM81"/>
  <c r="BL80"/>
  <c r="BS79"/>
  <c r="CD78"/>
  <c r="AL78"/>
  <c r="AW77"/>
  <c r="BB76"/>
  <c r="BL75"/>
  <c r="CA74"/>
  <c r="AO74"/>
  <c r="BF73"/>
  <c r="BX72"/>
  <c r="AP72"/>
  <c r="BL71"/>
  <c r="CF70"/>
  <c r="AY70"/>
  <c r="BS69"/>
  <c r="AI69"/>
  <c r="BE68"/>
  <c r="CA67"/>
  <c r="AT67"/>
  <c r="BL66"/>
  <c r="CG65"/>
  <c r="AZ65"/>
  <c r="BV64"/>
  <c r="AO64"/>
  <c r="BG63"/>
  <c r="CB62"/>
  <c r="AU62"/>
  <c r="BO61"/>
  <c r="CK60"/>
  <c r="BD60"/>
  <c r="CC59"/>
  <c r="BA59"/>
  <c r="CE58"/>
  <c r="BF58"/>
  <c r="CH57"/>
  <c r="BH57"/>
  <c r="AI57"/>
  <c r="BM56"/>
  <c r="AN56"/>
  <c r="BP55"/>
  <c r="AP55"/>
  <c r="BT54"/>
  <c r="AU54"/>
  <c r="BY53"/>
  <c r="AX53"/>
  <c r="CA52"/>
  <c r="BB52"/>
  <c r="CF51"/>
  <c r="BG51"/>
  <c r="CI50"/>
  <c r="BI50"/>
  <c r="AJ50"/>
  <c r="BN49"/>
  <c r="AO49"/>
  <c r="BQ48"/>
  <c r="AQ48"/>
  <c r="BU47"/>
  <c r="AV47"/>
  <c r="BZ46"/>
  <c r="AY46"/>
  <c r="CB45"/>
  <c r="BC45"/>
  <c r="CG44"/>
  <c r="BH44"/>
  <c r="CJ43"/>
  <c r="BJ43"/>
  <c r="AK43"/>
  <c r="BO42"/>
  <c r="AP42"/>
  <c r="BR41"/>
  <c r="AR41"/>
  <c r="BV40"/>
  <c r="AW40"/>
  <c r="CA39"/>
  <c r="AZ39"/>
  <c r="CE38"/>
  <c r="BK38"/>
  <c r="AO38"/>
  <c r="BV37"/>
  <c r="BB37"/>
  <c r="CI36"/>
  <c r="BM36"/>
  <c r="AS36"/>
  <c r="BZ35"/>
  <c r="BD35"/>
  <c r="AJ35"/>
  <c r="BQ34"/>
  <c r="AU34"/>
  <c r="CD33"/>
  <c r="BH33"/>
  <c r="AL33"/>
  <c r="BU32"/>
  <c r="AY32"/>
  <c r="CF31"/>
  <c r="BL31"/>
  <c r="AP31"/>
  <c r="CB30"/>
  <c r="BL30"/>
  <c r="AT30"/>
  <c r="CH29"/>
  <c r="BN29"/>
  <c r="AW29"/>
  <c r="CJ28"/>
  <c r="BR28"/>
  <c r="BC28"/>
  <c r="AK28"/>
  <c r="BW27"/>
  <c r="BG27"/>
  <c r="AM27"/>
  <c r="CA26"/>
  <c r="BI26"/>
  <c r="AR26"/>
  <c r="CE25"/>
  <c r="BM25"/>
  <c r="AX25"/>
  <c r="CG24"/>
  <c r="BB123"/>
  <c r="BI121"/>
  <c r="BP119"/>
  <c r="BS117"/>
  <c r="BT115"/>
  <c r="CB113"/>
  <c r="CK111"/>
  <c r="AO110"/>
  <c r="AN108"/>
  <c r="AO106"/>
  <c r="AX104"/>
  <c r="BE102"/>
  <c r="BL100"/>
  <c r="BP98"/>
  <c r="BV96"/>
  <c r="CC94"/>
  <c r="CJ92"/>
  <c r="AP91"/>
  <c r="BD89"/>
  <c r="BY87"/>
  <c r="BG86"/>
  <c r="AX85"/>
  <c r="AO84"/>
  <c r="CF82"/>
  <c r="BR81"/>
  <c r="BU80"/>
  <c r="CC79"/>
  <c r="AL79"/>
  <c r="AT78"/>
  <c r="BA77"/>
  <c r="BL76"/>
  <c r="BW75"/>
  <c r="CJ74"/>
  <c r="AT74"/>
  <c r="BJ73"/>
  <c r="CE72"/>
  <c r="AX72"/>
  <c r="BT71"/>
  <c r="AI71"/>
  <c r="BD70"/>
  <c r="BZ69"/>
  <c r="AQ69"/>
  <c r="BM68"/>
  <c r="CG67"/>
  <c r="AW67"/>
  <c r="BS66"/>
  <c r="AL66"/>
  <c r="BH65"/>
  <c r="BZ64"/>
  <c r="AR64"/>
  <c r="BN63"/>
  <c r="CJ62"/>
  <c r="BC62"/>
  <c r="BU61"/>
  <c r="AM61"/>
  <c r="BJ60"/>
  <c r="CJ59"/>
  <c r="BH59"/>
  <c r="CI58"/>
  <c r="BI58"/>
  <c r="AJ58"/>
  <c r="BN57"/>
  <c r="AO57"/>
  <c r="BQ56"/>
  <c r="AQ56"/>
  <c r="BU55"/>
  <c r="AV55"/>
  <c r="BZ54"/>
  <c r="AY54"/>
  <c r="CB53"/>
  <c r="BC53"/>
  <c r="CG52"/>
  <c r="BH52"/>
  <c r="CJ51"/>
  <c r="BJ51"/>
  <c r="AK51"/>
  <c r="BO50"/>
  <c r="AP50"/>
  <c r="BR49"/>
  <c r="AR49"/>
  <c r="BV48"/>
  <c r="AW48"/>
  <c r="CA47"/>
  <c r="AZ47"/>
  <c r="CC46"/>
  <c r="BD46"/>
  <c r="CH45"/>
  <c r="BI45"/>
  <c r="CK44"/>
  <c r="BK44"/>
  <c r="AL44"/>
  <c r="BP43"/>
  <c r="AQ43"/>
  <c r="BS42"/>
  <c r="AS42"/>
  <c r="BW41"/>
  <c r="AX41"/>
  <c r="CB40"/>
  <c r="BA40"/>
  <c r="CD39"/>
  <c r="BE39"/>
  <c r="CJ38"/>
  <c r="BN38"/>
  <c r="AT38"/>
  <c r="CA37"/>
  <c r="BE37"/>
  <c r="AK37"/>
  <c r="BR36"/>
  <c r="AV36"/>
  <c r="CE35"/>
  <c r="BI35"/>
  <c r="AM35"/>
  <c r="BV34"/>
  <c r="AZ34"/>
  <c r="CG33"/>
  <c r="BM33"/>
  <c r="AQ33"/>
  <c r="BX32"/>
  <c r="BD32"/>
  <c r="CK31"/>
  <c r="BO31"/>
  <c r="AU31"/>
  <c r="CH30"/>
  <c r="BN30"/>
  <c r="AY30"/>
  <c r="CJ29"/>
  <c r="BS29"/>
  <c r="BC29"/>
  <c r="AK29"/>
  <c r="BY28"/>
  <c r="BE28"/>
  <c r="AN28"/>
  <c r="CA27"/>
  <c r="BI27"/>
  <c r="AT27"/>
  <c r="CE26"/>
  <c r="BN26"/>
  <c r="AX26"/>
  <c r="CG25"/>
  <c r="BR25"/>
  <c r="AZ25"/>
  <c r="AI25"/>
  <c r="BV24"/>
  <c r="BD24"/>
  <c r="AO24"/>
  <c r="BX23"/>
  <c r="BG23"/>
  <c r="AQ23"/>
  <c r="CB22"/>
  <c r="BM22"/>
  <c r="AU22"/>
  <c r="CG21"/>
  <c r="BQ21"/>
  <c r="AW21"/>
  <c r="CK20"/>
  <c r="BS20"/>
  <c r="BB20"/>
  <c r="AL20"/>
  <c r="BW19"/>
  <c r="BH19"/>
  <c r="AN19"/>
  <c r="BZ18"/>
  <c r="BJ18"/>
  <c r="AR18"/>
  <c r="CF17"/>
  <c r="BN17"/>
  <c r="AW17"/>
  <c r="CJ16"/>
  <c r="BQ16"/>
  <c r="BE16"/>
  <c r="AO16"/>
  <c r="CH123"/>
  <c r="AL122"/>
  <c r="AI120"/>
  <c r="AI118"/>
  <c r="AQ116"/>
  <c r="AZ114"/>
  <c r="BG112"/>
  <c r="BI110"/>
  <c r="BO108"/>
  <c r="BX106"/>
  <c r="CE104"/>
  <c r="AI103"/>
  <c r="CH100"/>
  <c r="AK99"/>
  <c r="AR97"/>
  <c r="AY95"/>
  <c r="BF93"/>
  <c r="BI91"/>
  <c r="BZ89"/>
  <c r="AU88"/>
  <c r="CA86"/>
  <c r="BQ85"/>
  <c r="BB84"/>
  <c r="AR83"/>
  <c r="AI82"/>
  <c r="CG80"/>
  <c r="AO80"/>
  <c r="AU79"/>
  <c r="BD78"/>
  <c r="BP77"/>
  <c r="BX76"/>
  <c r="CI75"/>
  <c r="AO75"/>
  <c r="BC74"/>
  <c r="BT73"/>
  <c r="AK73"/>
  <c r="BG72"/>
  <c r="BY71"/>
  <c r="AQ71"/>
  <c r="BM70"/>
  <c r="CI69"/>
  <c r="BB69"/>
  <c r="BT68"/>
  <c r="AL68"/>
  <c r="BH67"/>
  <c r="CB66"/>
  <c r="AU66"/>
  <c r="BO65"/>
  <c r="CH64"/>
  <c r="BA64"/>
  <c r="BW63"/>
  <c r="AP63"/>
  <c r="BH62"/>
  <c r="CC61"/>
  <c r="AV61"/>
  <c r="BR60"/>
  <c r="AO60"/>
  <c r="BM59"/>
  <c r="AL59"/>
  <c r="BP58"/>
  <c r="AQ58"/>
  <c r="BU57"/>
  <c r="AT57"/>
  <c r="BW56"/>
  <c r="AX56"/>
  <c r="CB55"/>
  <c r="BC55"/>
  <c r="CE54"/>
  <c r="BE54"/>
  <c r="CI53"/>
  <c r="BJ53"/>
  <c r="AK53"/>
  <c r="BM52"/>
  <c r="AM52"/>
  <c r="BQ51"/>
  <c r="AR51"/>
  <c r="BV50"/>
  <c r="AU50"/>
  <c r="BX49"/>
  <c r="AY49"/>
  <c r="CC48"/>
  <c r="BD48"/>
  <c r="CF47"/>
  <c r="BF47"/>
  <c r="CJ46"/>
  <c r="CI120"/>
  <c r="AV117"/>
  <c r="AY113"/>
  <c r="BM109"/>
  <c r="BT105"/>
  <c r="CI101"/>
  <c r="AT98"/>
  <c r="AS94"/>
  <c r="BQ90"/>
  <c r="BH87"/>
  <c r="CK84"/>
  <c r="BS82"/>
  <c r="BF80"/>
  <c r="CB78"/>
  <c r="AP77"/>
  <c r="BK75"/>
  <c r="AN74"/>
  <c r="BV72"/>
  <c r="BI71"/>
  <c r="AV70"/>
  <c r="CK68"/>
  <c r="BZ67"/>
  <c r="BJ66"/>
  <c r="AY65"/>
  <c r="AJ64"/>
  <c r="CA62"/>
  <c r="BN61"/>
  <c r="BB60"/>
  <c r="AZ59"/>
  <c r="BC58"/>
  <c r="BG57"/>
  <c r="BL56"/>
  <c r="BN55"/>
  <c r="BS54"/>
  <c r="BV53"/>
  <c r="BZ52"/>
  <c r="CE51"/>
  <c r="CG50"/>
  <c r="AI50"/>
  <c r="AL49"/>
  <c r="AP48"/>
  <c r="AU47"/>
  <c r="BB46"/>
  <c r="BQ45"/>
  <c r="CF44"/>
  <c r="AS44"/>
  <c r="AZ43"/>
  <c r="BP42"/>
  <c r="CE41"/>
  <c r="AQ41"/>
  <c r="BG40"/>
  <c r="BN39"/>
  <c r="CH38"/>
  <c r="AY38"/>
  <c r="BU37"/>
  <c r="AO37"/>
  <c r="BD36"/>
  <c r="CA35"/>
  <c r="AT35"/>
  <c r="BP34"/>
  <c r="AJ34"/>
  <c r="AY33"/>
  <c r="BV32"/>
  <c r="AO32"/>
  <c r="BK31"/>
  <c r="CI30"/>
  <c r="BD30"/>
  <c r="CI29"/>
  <c r="BE29"/>
  <c r="CI28"/>
  <c r="BH28"/>
  <c r="CG27"/>
  <c r="BH27"/>
  <c r="CH26"/>
  <c r="BH26"/>
  <c r="CK25"/>
  <c r="BH25"/>
  <c r="CJ24"/>
  <c r="BM24"/>
  <c r="AR24"/>
  <c r="CC23"/>
  <c r="BL23"/>
  <c r="AP23"/>
  <c r="BZ22"/>
  <c r="BE22"/>
  <c r="AL22"/>
  <c r="BU21"/>
  <c r="BD21"/>
  <c r="AK21"/>
  <c r="BR20"/>
  <c r="AW20"/>
  <c r="CG19"/>
  <c r="BO19"/>
  <c r="AV19"/>
  <c r="CF18"/>
  <c r="BK18"/>
  <c r="AQ18"/>
  <c r="BY17"/>
  <c r="BG17"/>
  <c r="AP17"/>
  <c r="BX16"/>
  <c r="BG16"/>
  <c r="AP16"/>
  <c r="AV121"/>
  <c r="BE117"/>
  <c r="BT113"/>
  <c r="BX109"/>
  <c r="AK106"/>
  <c r="AO102"/>
  <c r="BA98"/>
  <c r="BO94"/>
  <c r="CA90"/>
  <c r="BV87"/>
  <c r="AM85"/>
  <c r="BW82"/>
  <c r="BP80"/>
  <c r="CE78"/>
  <c r="AX77"/>
  <c r="BO75"/>
  <c r="AP74"/>
  <c r="CC72"/>
  <c r="BM71"/>
  <c r="AZ70"/>
  <c r="AM69"/>
  <c r="CB67"/>
  <c r="BQ66"/>
  <c r="BA65"/>
  <c r="AP64"/>
  <c r="CD62"/>
  <c r="BR61"/>
  <c r="BH60"/>
  <c r="BB59"/>
  <c r="BG58"/>
  <c r="BJ57"/>
  <c r="BN56"/>
  <c r="BS55"/>
  <c r="BU54"/>
  <c r="BZ53"/>
  <c r="CC52"/>
  <c r="CG51"/>
  <c r="AI51"/>
  <c r="AK50"/>
  <c r="AP49"/>
  <c r="AS48"/>
  <c r="AW47"/>
  <c r="BK46"/>
  <c r="BR45"/>
  <c r="CH44"/>
  <c r="AT44"/>
  <c r="BI43"/>
  <c r="BY42"/>
  <c r="CF41"/>
  <c r="AT41"/>
  <c r="BI40"/>
  <c r="BX39"/>
  <c r="AM39"/>
  <c r="BB38"/>
  <c r="BY37"/>
  <c r="AP37"/>
  <c r="BL36"/>
  <c r="CI35"/>
  <c r="AU35"/>
  <c r="BR34"/>
  <c r="AK34"/>
  <c r="BG33"/>
  <c r="CD32"/>
  <c r="AP32"/>
  <c r="BM31"/>
  <c r="CJ30"/>
  <c r="BK30"/>
  <c r="CK29"/>
  <c r="BI29"/>
  <c r="CK28"/>
  <c r="BJ28"/>
  <c r="AJ28"/>
  <c r="BK27"/>
  <c r="AJ27"/>
  <c r="BJ26"/>
  <c r="AK26"/>
  <c r="BJ25"/>
  <c r="AL25"/>
  <c r="BN24"/>
  <c r="AV24"/>
  <c r="CF23"/>
  <c r="BM23"/>
  <c r="AR23"/>
  <c r="CA22"/>
  <c r="BF22"/>
  <c r="AN22"/>
  <c r="BZ21"/>
  <c r="BE21"/>
  <c r="AL21"/>
  <c r="BT20"/>
  <c r="AZ20"/>
  <c r="CI19"/>
  <c r="BR19"/>
  <c r="AY19"/>
  <c r="CG18"/>
  <c r="BN18"/>
  <c r="AT18"/>
  <c r="CC17"/>
  <c r="BJ17"/>
  <c r="AQ17"/>
  <c r="BY16"/>
  <c r="BH16"/>
  <c r="AR16"/>
  <c r="CI37"/>
  <c r="BV25"/>
  <c r="CC21"/>
  <c r="BC19"/>
  <c r="BS112"/>
  <c r="BM37"/>
  <c r="CE27"/>
  <c r="BE23"/>
  <c r="AV20"/>
  <c r="BI18"/>
  <c r="BE17"/>
  <c r="AN16"/>
  <c r="BN112"/>
  <c r="AZ31"/>
  <c r="BA16"/>
  <c r="BJ116"/>
  <c r="BE55"/>
  <c r="BU44"/>
  <c r="BM39"/>
  <c r="BY35"/>
  <c r="AX33"/>
  <c r="BC31"/>
  <c r="CC29"/>
  <c r="BD28"/>
  <c r="CF26"/>
  <c r="BE25"/>
  <c r="BL24"/>
  <c r="AM23"/>
  <c r="BA21"/>
  <c r="BK19"/>
  <c r="BX17"/>
  <c r="BW16"/>
  <c r="AM122"/>
  <c r="AW118"/>
  <c r="BE114"/>
  <c r="BU110"/>
  <c r="BY106"/>
  <c r="AJ103"/>
  <c r="AP99"/>
  <c r="AZ95"/>
  <c r="BQ91"/>
  <c r="BA88"/>
  <c r="BU85"/>
  <c r="AU83"/>
  <c r="CI80"/>
  <c r="BB79"/>
  <c r="BQ77"/>
  <c r="CJ75"/>
  <c r="BG74"/>
  <c r="AL73"/>
  <c r="CD71"/>
  <c r="BN70"/>
  <c r="BC69"/>
  <c r="AN68"/>
  <c r="CE66"/>
  <c r="BR65"/>
  <c r="BB64"/>
  <c r="AQ63"/>
  <c r="CE61"/>
  <c r="BS60"/>
  <c r="BQ59"/>
  <c r="BQ58"/>
  <c r="BV57"/>
  <c r="BY56"/>
  <c r="CC55"/>
  <c r="CH54"/>
  <c r="CJ53"/>
  <c r="AL53"/>
  <c r="AO52"/>
  <c r="AS51"/>
  <c r="AX50"/>
  <c r="AZ49"/>
  <c r="BE48"/>
  <c r="BH47"/>
  <c r="BL46"/>
  <c r="CA45"/>
  <c r="AN45"/>
  <c r="AU44"/>
  <c r="BL43"/>
  <c r="CA42"/>
  <c r="AM42"/>
  <c r="BE41"/>
  <c r="BL40"/>
  <c r="CB39"/>
  <c r="AN39"/>
  <c r="BJ38"/>
  <c r="CG37"/>
  <c r="AS37"/>
  <c r="BP36"/>
  <c r="CJ35"/>
  <c r="BC35"/>
  <c r="BZ34"/>
  <c r="AL34"/>
  <c r="BI33"/>
  <c r="CE32"/>
  <c r="AX32"/>
  <c r="BU31"/>
  <c r="AI31"/>
  <c r="BM30"/>
  <c r="AL30"/>
  <c r="BM29"/>
  <c r="AM29"/>
  <c r="BM28"/>
  <c r="AL28"/>
  <c r="BP27"/>
  <c r="AL27"/>
  <c r="BQ26"/>
  <c r="AL26"/>
  <c r="BO25"/>
  <c r="AO25"/>
  <c r="BP24"/>
  <c r="AY24"/>
  <c r="CI23"/>
  <c r="BN23"/>
  <c r="AU23"/>
  <c r="CD22"/>
  <c r="BJ22"/>
  <c r="AQ22"/>
  <c r="CA21"/>
  <c r="BF21"/>
  <c r="AM21"/>
  <c r="BX20"/>
  <c r="BE20"/>
  <c r="AK20"/>
  <c r="BS19"/>
  <c r="AZ19"/>
  <c r="CH18"/>
  <c r="BP18"/>
  <c r="AY18"/>
  <c r="CG17"/>
  <c r="BM17"/>
  <c r="AR17"/>
  <c r="CB16"/>
  <c r="BK16"/>
  <c r="AV16"/>
  <c r="AO119"/>
  <c r="BA115"/>
  <c r="BT107"/>
  <c r="AM100"/>
  <c r="BB92"/>
  <c r="AQ86"/>
  <c r="BB81"/>
  <c r="AK78"/>
  <c r="BZ74"/>
  <c r="AO72"/>
  <c r="BO69"/>
  <c r="AO67"/>
  <c r="BU64"/>
  <c r="AR62"/>
  <c r="CB59"/>
  <c r="CF57"/>
  <c r="AK56"/>
  <c r="AT54"/>
  <c r="BA52"/>
  <c r="BH50"/>
  <c r="BO48"/>
  <c r="BW46"/>
  <c r="AS45"/>
  <c r="BX43"/>
  <c r="AZ42"/>
  <c r="BW40"/>
  <c r="AX39"/>
  <c r="BC37"/>
  <c r="AR36"/>
  <c r="CD34"/>
  <c r="BR33"/>
  <c r="BH32"/>
  <c r="AQ31"/>
  <c r="AQ30"/>
  <c r="AS29"/>
  <c r="AT28"/>
  <c r="AU27"/>
  <c r="AU26"/>
  <c r="BW24"/>
  <c r="CK23"/>
  <c r="AZ23"/>
  <c r="BO22"/>
  <c r="BK21"/>
  <c r="CB20"/>
  <c r="AN20"/>
  <c r="AL19"/>
  <c r="BA18"/>
  <c r="BQ17"/>
  <c r="CG16"/>
  <c r="AX16"/>
  <c r="AX119"/>
  <c r="BL115"/>
  <c r="CG107"/>
  <c r="AT100"/>
  <c r="BR92"/>
  <c r="BD86"/>
  <c r="BN81"/>
  <c r="AM78"/>
  <c r="CB74"/>
  <c r="AR72"/>
  <c r="BV69"/>
  <c r="AU67"/>
  <c r="BW64"/>
  <c r="BL63"/>
  <c r="AV62"/>
  <c r="CF59"/>
  <c r="CF58"/>
  <c r="AJ57"/>
  <c r="AO56"/>
  <c r="AV54"/>
  <c r="BA53"/>
  <c r="BH51"/>
  <c r="BK50"/>
  <c r="BT48"/>
  <c r="CA46"/>
  <c r="BB45"/>
  <c r="BY43"/>
  <c r="BA42"/>
  <c r="CG40"/>
  <c r="BC39"/>
  <c r="AN38"/>
  <c r="BZ36"/>
  <c r="BP35"/>
  <c r="BF34"/>
  <c r="AO33"/>
  <c r="CE31"/>
  <c r="BV30"/>
  <c r="BY29"/>
  <c r="BZ28"/>
  <c r="BZ27"/>
  <c r="BX26"/>
  <c r="BW25"/>
  <c r="BX24"/>
  <c r="AJ24"/>
  <c r="BC23"/>
  <c r="BR22"/>
  <c r="CJ21"/>
  <c r="AU21"/>
  <c r="BJ20"/>
  <c r="CB19"/>
  <c r="AM19"/>
  <c r="BB18"/>
  <c r="BV17"/>
  <c r="CK16"/>
  <c r="AY16"/>
  <c r="CI123"/>
  <c r="AW116"/>
  <c r="CF104"/>
  <c r="AS97"/>
  <c r="CG89"/>
  <c r="BL84"/>
  <c r="AP80"/>
  <c r="CB76"/>
  <c r="BU73"/>
  <c r="AS71"/>
  <c r="BY68"/>
  <c r="AV66"/>
  <c r="BX63"/>
  <c r="AW61"/>
  <c r="AN59"/>
  <c r="AW57"/>
  <c r="BD55"/>
  <c r="BP52"/>
  <c r="BW50"/>
  <c r="CI47"/>
  <c r="BD45"/>
  <c r="CH43"/>
  <c r="BU41"/>
  <c r="AV40"/>
  <c r="BV38"/>
  <c r="BL37"/>
  <c r="BB36"/>
  <c r="AK35"/>
  <c r="CC33"/>
  <c r="BL32"/>
  <c r="BB30"/>
  <c r="BB29"/>
  <c r="AZ28"/>
  <c r="AY27"/>
  <c r="AZ26"/>
  <c r="BA25"/>
  <c r="BI24"/>
  <c r="BW23"/>
  <c r="AI23"/>
  <c r="BC22"/>
  <c r="BR21"/>
  <c r="CF20"/>
  <c r="AU20"/>
  <c r="BJ19"/>
  <c r="BX18"/>
  <c r="AM18"/>
  <c r="BB17"/>
  <c r="BT16"/>
  <c r="CJ123"/>
  <c r="CI108"/>
  <c r="AV101"/>
  <c r="BG97"/>
  <c r="AM90"/>
  <c r="CF86"/>
  <c r="AP82"/>
  <c r="BN78"/>
  <c r="AS75"/>
  <c r="BI72"/>
  <c r="CK69"/>
  <c r="BK67"/>
  <c r="AL65"/>
  <c r="BN62"/>
  <c r="AR60"/>
  <c r="AX57"/>
  <c r="BJ54"/>
  <c r="BT51"/>
  <c r="CE48"/>
  <c r="AW46"/>
  <c r="AJ44"/>
  <c r="BN42"/>
  <c r="CK40"/>
  <c r="CD38"/>
  <c r="BC36"/>
  <c r="BH34"/>
  <c r="BT32"/>
  <c r="CE30"/>
  <c r="BD29"/>
  <c r="BD27"/>
  <c r="CF25"/>
  <c r="CF24"/>
  <c r="CA23"/>
  <c r="BD22"/>
  <c r="BS21"/>
  <c r="BQ20"/>
  <c r="AS19"/>
  <c r="AP18"/>
  <c r="BF16"/>
  <c r="AO122"/>
  <c r="BE118"/>
  <c r="BK114"/>
  <c r="CB110"/>
  <c r="CC106"/>
  <c r="AO103"/>
  <c r="BC99"/>
  <c r="BF95"/>
  <c r="BT91"/>
  <c r="BG88"/>
  <c r="BV85"/>
  <c r="BD83"/>
  <c r="CJ80"/>
  <c r="BC79"/>
  <c r="BS77"/>
  <c r="AK76"/>
  <c r="BK74"/>
  <c r="AM73"/>
  <c r="CE71"/>
  <c r="BP70"/>
  <c r="BD69"/>
  <c r="AS68"/>
  <c r="CF66"/>
  <c r="BS65"/>
  <c r="BF64"/>
  <c r="AR63"/>
  <c r="CJ61"/>
  <c r="BT60"/>
  <c r="BR59"/>
  <c r="BS58"/>
  <c r="BW57"/>
  <c r="CB56"/>
  <c r="CD55"/>
  <c r="CI54"/>
  <c r="AI54"/>
  <c r="AM53"/>
  <c r="AR52"/>
  <c r="AT51"/>
  <c r="AY50"/>
  <c r="BB49"/>
  <c r="BF48"/>
  <c r="BK47"/>
  <c r="BM46"/>
  <c r="CD45"/>
  <c r="AP45"/>
  <c r="BE44"/>
  <c r="BW43"/>
  <c r="CD42"/>
  <c r="AQ42"/>
  <c r="BF41"/>
  <c r="BU40"/>
  <c r="CK39"/>
  <c r="AO39"/>
  <c r="BL38"/>
  <c r="CH37"/>
  <c r="BA37"/>
  <c r="BX36"/>
  <c r="AJ36"/>
  <c r="BG35"/>
  <c r="CA34"/>
  <c r="AT34"/>
  <c r="BQ33"/>
  <c r="CF32"/>
  <c r="AZ32"/>
  <c r="BV31"/>
  <c r="AO31"/>
  <c r="BR30"/>
  <c r="AO30"/>
  <c r="BQ29"/>
  <c r="AP29"/>
  <c r="BQ28"/>
  <c r="AS28"/>
  <c r="BQ27"/>
  <c r="AQ27"/>
  <c r="BR26"/>
  <c r="AP26"/>
  <c r="BU25"/>
  <c r="AP25"/>
  <c r="BU24"/>
  <c r="AZ24"/>
  <c r="CJ23"/>
  <c r="BO23"/>
  <c r="AW23"/>
  <c r="CI22"/>
  <c r="BN22"/>
  <c r="AT22"/>
  <c r="CB21"/>
  <c r="BI21"/>
  <c r="AO21"/>
  <c r="CA20"/>
  <c r="BH20"/>
  <c r="AM20"/>
  <c r="BT19"/>
  <c r="BA19"/>
  <c r="AI19"/>
  <c r="BS18"/>
  <c r="AZ18"/>
  <c r="CH17"/>
  <c r="BO17"/>
  <c r="AS17"/>
  <c r="CD16"/>
  <c r="BN16"/>
  <c r="AW16"/>
  <c r="CA122"/>
  <c r="BF111"/>
  <c r="BZ103"/>
  <c r="AQ96"/>
  <c r="AL89"/>
  <c r="CB83"/>
  <c r="BR79"/>
  <c r="AZ76"/>
  <c r="BA73"/>
  <c r="CE70"/>
  <c r="BD68"/>
  <c r="CF65"/>
  <c r="BE63"/>
  <c r="CH60"/>
  <c r="CD58"/>
  <c r="CK56"/>
  <c r="AO55"/>
  <c r="AV53"/>
  <c r="BD51"/>
  <c r="BM49"/>
  <c r="BT47"/>
  <c r="AL46"/>
  <c r="BI44"/>
  <c r="AJ43"/>
  <c r="BG41"/>
  <c r="AI40"/>
  <c r="BT38"/>
  <c r="BY36"/>
  <c r="BO35"/>
  <c r="AX34"/>
  <c r="AK33"/>
  <c r="BW31"/>
  <c r="BU30"/>
  <c r="BV29"/>
  <c r="BT28"/>
  <c r="BS27"/>
  <c r="BS26"/>
  <c r="AS25"/>
  <c r="BA24"/>
  <c r="BS23"/>
  <c r="CJ22"/>
  <c r="AV22"/>
  <c r="AT21"/>
  <c r="BI20"/>
  <c r="BY19"/>
  <c r="BV18"/>
  <c r="CK17"/>
  <c r="AZ17"/>
  <c r="BO16"/>
  <c r="AU123"/>
  <c r="BR111"/>
  <c r="AR104"/>
  <c r="BH96"/>
  <c r="AV89"/>
  <c r="CF83"/>
  <c r="BX79"/>
  <c r="BI76"/>
  <c r="BG73"/>
  <c r="CI70"/>
  <c r="BF68"/>
  <c r="CI65"/>
  <c r="AI61"/>
  <c r="CK57"/>
  <c r="AR55"/>
  <c r="BC52"/>
  <c r="BO49"/>
  <c r="BV47"/>
  <c r="AM46"/>
  <c r="BR44"/>
  <c r="AL43"/>
  <c r="BP41"/>
  <c r="AK40"/>
  <c r="BU38"/>
  <c r="BK37"/>
  <c r="AT36"/>
  <c r="AI35"/>
  <c r="BU33"/>
  <c r="BI32"/>
  <c r="AY31"/>
  <c r="AV30"/>
  <c r="AU29"/>
  <c r="AU28"/>
  <c r="AV27"/>
  <c r="AY26"/>
  <c r="AY25"/>
  <c r="BF24"/>
  <c r="BV23"/>
  <c r="CK22"/>
  <c r="AX22"/>
  <c r="BN21"/>
  <c r="CC20"/>
  <c r="AR20"/>
  <c r="BI19"/>
  <c r="BW18"/>
  <c r="AJ18"/>
  <c r="BA17"/>
  <c r="BP16"/>
  <c r="AI16"/>
  <c r="AU120"/>
  <c r="BT108"/>
  <c r="AR101"/>
  <c r="BH93"/>
  <c r="CE86"/>
  <c r="AJ82"/>
  <c r="BG78"/>
  <c r="AR75"/>
  <c r="BH72"/>
  <c r="CJ69"/>
  <c r="BI67"/>
  <c r="AI65"/>
  <c r="BM62"/>
  <c r="AP60"/>
  <c r="AR58"/>
  <c r="AY56"/>
  <c r="BG54"/>
  <c r="BK53"/>
  <c r="BR51"/>
  <c r="BZ49"/>
  <c r="CD48"/>
  <c r="CK46"/>
  <c r="AN46"/>
  <c r="BS44"/>
  <c r="AV43"/>
  <c r="BC42"/>
  <c r="CJ40"/>
  <c r="BL39"/>
  <c r="AP38"/>
  <c r="CH36"/>
  <c r="BQ35"/>
  <c r="BG34"/>
  <c r="AW33"/>
  <c r="CI31"/>
  <c r="BZ30"/>
  <c r="BZ29"/>
  <c r="CA28"/>
  <c r="CB27"/>
  <c r="CD26"/>
  <c r="CD25"/>
  <c r="CB24"/>
  <c r="AP24"/>
  <c r="BD23"/>
  <c r="BT22"/>
  <c r="CK21"/>
  <c r="AV21"/>
  <c r="BL20"/>
  <c r="CE19"/>
  <c r="AQ19"/>
  <c r="BF18"/>
  <c r="BW17"/>
  <c r="AI17"/>
  <c r="AM16"/>
  <c r="AX120"/>
  <c r="CI104"/>
  <c r="BM93"/>
  <c r="BM84"/>
  <c r="AR80"/>
  <c r="CC76"/>
  <c r="BZ73"/>
  <c r="AX71"/>
  <c r="BZ68"/>
  <c r="AY66"/>
  <c r="BY63"/>
  <c r="AY61"/>
  <c r="AQ59"/>
  <c r="AS58"/>
  <c r="BA56"/>
  <c r="BL53"/>
  <c r="BQ52"/>
  <c r="BX50"/>
  <c r="CC49"/>
  <c r="CJ47"/>
  <c r="AJ47"/>
  <c r="BN45"/>
  <c r="AY43"/>
  <c r="CD41"/>
  <c r="AX40"/>
  <c r="AX38"/>
  <c r="CJ36"/>
  <c r="AS35"/>
  <c r="CE33"/>
  <c r="AN32"/>
  <c r="BC30"/>
  <c r="CB28"/>
  <c r="BB26"/>
  <c r="AQ24"/>
  <c r="BW22"/>
  <c r="AI22"/>
  <c r="CH20"/>
  <c r="CF19"/>
  <c r="CE18"/>
  <c r="AK17"/>
  <c r="L21" i="44" l="1"/>
  <c r="M21"/>
  <c r="N20"/>
  <c r="M22" l="1"/>
  <c r="N21"/>
  <c r="L22"/>
  <c r="E16" i="41" a="1"/>
  <c r="L23" i="44" l="1"/>
  <c r="M23"/>
  <c r="N22"/>
  <c r="E120" i="41"/>
  <c r="F120" s="1"/>
  <c r="E112"/>
  <c r="F112" s="1"/>
  <c r="E104"/>
  <c r="F104" s="1"/>
  <c r="E96"/>
  <c r="F96" s="1"/>
  <c r="E88"/>
  <c r="F88" s="1"/>
  <c r="E80"/>
  <c r="F80" s="1"/>
  <c r="E72"/>
  <c r="F72" s="1"/>
  <c r="E64"/>
  <c r="F64" s="1"/>
  <c r="E56"/>
  <c r="F56" s="1"/>
  <c r="E48"/>
  <c r="F48" s="1"/>
  <c r="E40"/>
  <c r="F40" s="1"/>
  <c r="E32"/>
  <c r="F32" s="1"/>
  <c r="E24"/>
  <c r="F24" s="1"/>
  <c r="E16"/>
  <c r="F16" s="1"/>
  <c r="E121"/>
  <c r="F121" s="1"/>
  <c r="E113"/>
  <c r="F113" s="1"/>
  <c r="E105"/>
  <c r="F105" s="1"/>
  <c r="E97"/>
  <c r="F97" s="1"/>
  <c r="E89"/>
  <c r="F89" s="1"/>
  <c r="E81"/>
  <c r="F81" s="1"/>
  <c r="E73"/>
  <c r="F73" s="1"/>
  <c r="E65"/>
  <c r="F65" s="1"/>
  <c r="E57"/>
  <c r="F57" s="1"/>
  <c r="E49"/>
  <c r="F49" s="1"/>
  <c r="E41"/>
  <c r="F41" s="1"/>
  <c r="E33"/>
  <c r="F33" s="1"/>
  <c r="E25"/>
  <c r="F25" s="1"/>
  <c r="E17"/>
  <c r="F17" s="1"/>
  <c r="E122"/>
  <c r="F122" s="1"/>
  <c r="E114"/>
  <c r="F114" s="1"/>
  <c r="E106"/>
  <c r="F106" s="1"/>
  <c r="E98"/>
  <c r="F98" s="1"/>
  <c r="E90"/>
  <c r="F90" s="1"/>
  <c r="E82"/>
  <c r="F82" s="1"/>
  <c r="E74"/>
  <c r="F74" s="1"/>
  <c r="E66"/>
  <c r="F66" s="1"/>
  <c r="E58"/>
  <c r="F58" s="1"/>
  <c r="E50"/>
  <c r="F50" s="1"/>
  <c r="E42"/>
  <c r="F42" s="1"/>
  <c r="E34"/>
  <c r="F34" s="1"/>
  <c r="E26"/>
  <c r="F26" s="1"/>
  <c r="E18"/>
  <c r="F18" s="1"/>
  <c r="E123"/>
  <c r="F123" s="1"/>
  <c r="E115"/>
  <c r="F115" s="1"/>
  <c r="E107"/>
  <c r="F107" s="1"/>
  <c r="E99"/>
  <c r="F99" s="1"/>
  <c r="E91"/>
  <c r="F91" s="1"/>
  <c r="E83"/>
  <c r="F83" s="1"/>
  <c r="E75"/>
  <c r="F75" s="1"/>
  <c r="E67"/>
  <c r="F67" s="1"/>
  <c r="E59"/>
  <c r="F59" s="1"/>
  <c r="E51"/>
  <c r="F51" s="1"/>
  <c r="E43"/>
  <c r="F43" s="1"/>
  <c r="E35"/>
  <c r="F35" s="1"/>
  <c r="E27"/>
  <c r="F27" s="1"/>
  <c r="E19"/>
  <c r="F19" s="1"/>
  <c r="E116"/>
  <c r="F116" s="1"/>
  <c r="E108"/>
  <c r="F108" s="1"/>
  <c r="E100"/>
  <c r="F100" s="1"/>
  <c r="E92"/>
  <c r="F92" s="1"/>
  <c r="E84"/>
  <c r="F84" s="1"/>
  <c r="E76"/>
  <c r="F76" s="1"/>
  <c r="E68"/>
  <c r="F68" s="1"/>
  <c r="E60"/>
  <c r="F60" s="1"/>
  <c r="E52"/>
  <c r="F52" s="1"/>
  <c r="E44"/>
  <c r="F44" s="1"/>
  <c r="E36"/>
  <c r="F36" s="1"/>
  <c r="E28"/>
  <c r="F28" s="1"/>
  <c r="E20"/>
  <c r="F20" s="1"/>
  <c r="E119"/>
  <c r="F119" s="1"/>
  <c r="E111"/>
  <c r="F111" s="1"/>
  <c r="E103"/>
  <c r="F103" s="1"/>
  <c r="E95"/>
  <c r="F95" s="1"/>
  <c r="E87"/>
  <c r="F87" s="1"/>
  <c r="E79"/>
  <c r="F79" s="1"/>
  <c r="E71"/>
  <c r="F71" s="1"/>
  <c r="E63"/>
  <c r="F63" s="1"/>
  <c r="E55"/>
  <c r="F55" s="1"/>
  <c r="E47"/>
  <c r="F47" s="1"/>
  <c r="E39"/>
  <c r="F39" s="1"/>
  <c r="E31"/>
  <c r="F31" s="1"/>
  <c r="E23"/>
  <c r="F23" s="1"/>
  <c r="E117"/>
  <c r="F117" s="1"/>
  <c r="E109"/>
  <c r="F109" s="1"/>
  <c r="E101"/>
  <c r="F101" s="1"/>
  <c r="E93"/>
  <c r="F93" s="1"/>
  <c r="E85"/>
  <c r="F85" s="1"/>
  <c r="E77"/>
  <c r="F77" s="1"/>
  <c r="E69"/>
  <c r="F69" s="1"/>
  <c r="E61"/>
  <c r="F61" s="1"/>
  <c r="E53"/>
  <c r="F53" s="1"/>
  <c r="E45"/>
  <c r="F45" s="1"/>
  <c r="E37"/>
  <c r="F37" s="1"/>
  <c r="E29"/>
  <c r="F29" s="1"/>
  <c r="E21"/>
  <c r="F21" s="1"/>
  <c r="E118"/>
  <c r="F118" s="1"/>
  <c r="E110"/>
  <c r="F110" s="1"/>
  <c r="E102"/>
  <c r="F102" s="1"/>
  <c r="E94"/>
  <c r="F94" s="1"/>
  <c r="E86"/>
  <c r="F86" s="1"/>
  <c r="E78"/>
  <c r="F78" s="1"/>
  <c r="E70"/>
  <c r="F70" s="1"/>
  <c r="E62"/>
  <c r="F62" s="1"/>
  <c r="E54"/>
  <c r="F54" s="1"/>
  <c r="E46"/>
  <c r="F46" s="1"/>
  <c r="E38"/>
  <c r="F38" s="1"/>
  <c r="E30"/>
  <c r="F30" s="1"/>
  <c r="E22"/>
  <c r="F22" s="1"/>
  <c r="L24" i="44" l="1"/>
  <c r="N23"/>
  <c r="M24"/>
  <c r="L25" l="1"/>
  <c r="N24"/>
  <c r="M25"/>
  <c r="L26" l="1"/>
  <c r="N25"/>
  <c r="M26"/>
  <c r="L27" l="1"/>
  <c r="N26"/>
  <c r="M27"/>
  <c r="L28" l="1"/>
  <c r="M28"/>
  <c r="N27"/>
  <c r="L29" l="1"/>
  <c r="M29"/>
  <c r="N28"/>
  <c r="L30" l="1"/>
  <c r="M30"/>
  <c r="N29"/>
  <c r="L31" l="1"/>
  <c r="M31"/>
  <c r="N30"/>
  <c r="L32" l="1"/>
  <c r="N31"/>
  <c r="M32"/>
  <c r="L33" l="1"/>
  <c r="N32"/>
  <c r="M33"/>
  <c r="L34" l="1"/>
  <c r="N33"/>
  <c r="M34"/>
  <c r="L35" l="1"/>
  <c r="N34"/>
  <c r="M35"/>
  <c r="L36" l="1"/>
  <c r="M36"/>
  <c r="N35"/>
  <c r="L37" l="1"/>
  <c r="M37"/>
  <c r="N36"/>
  <c r="L38" l="1"/>
  <c r="M38"/>
  <c r="N37"/>
  <c r="L39" l="1"/>
  <c r="M39"/>
  <c r="N38"/>
  <c r="L40" l="1"/>
  <c r="N39"/>
  <c r="M40"/>
  <c r="L41" l="1"/>
  <c r="N40"/>
  <c r="M41"/>
  <c r="L42" l="1"/>
  <c r="N41"/>
  <c r="M42"/>
  <c r="L43" l="1"/>
  <c r="N42"/>
  <c r="M43"/>
  <c r="L44" l="1"/>
  <c r="M44"/>
  <c r="N43"/>
  <c r="L45" l="1"/>
  <c r="M45"/>
  <c r="N44"/>
  <c r="L46" l="1"/>
  <c r="M46"/>
  <c r="N45"/>
  <c r="L47" l="1"/>
  <c r="M47"/>
  <c r="N46"/>
  <c r="L48" l="1"/>
  <c r="N47"/>
  <c r="M48"/>
  <c r="L49" l="1"/>
  <c r="N48"/>
  <c r="M49"/>
  <c r="L50" l="1"/>
  <c r="N49"/>
  <c r="M50"/>
  <c r="L51" l="1"/>
  <c r="N50"/>
  <c r="M51"/>
  <c r="L52" l="1"/>
  <c r="M52"/>
  <c r="N51"/>
  <c r="L53" l="1"/>
  <c r="M53"/>
  <c r="N52"/>
  <c r="L54" l="1"/>
  <c r="M54"/>
  <c r="N53"/>
  <c r="L55" l="1"/>
  <c r="M55"/>
  <c r="N54"/>
  <c r="L56" l="1"/>
  <c r="N55"/>
  <c r="M56"/>
  <c r="L57" l="1"/>
  <c r="N56"/>
  <c r="M57"/>
  <c r="L58" l="1"/>
  <c r="N57"/>
  <c r="M58"/>
  <c r="L59" l="1"/>
  <c r="N58"/>
  <c r="M59"/>
  <c r="L60" l="1"/>
  <c r="M60"/>
  <c r="N59"/>
  <c r="L61" l="1"/>
  <c r="M61"/>
  <c r="N60"/>
  <c r="L62" l="1"/>
  <c r="M62"/>
  <c r="N61"/>
  <c r="L63" l="1"/>
  <c r="M63"/>
  <c r="N62"/>
  <c r="L64" l="1"/>
  <c r="N63"/>
  <c r="M64"/>
  <c r="L65" l="1"/>
  <c r="N64"/>
  <c r="M65"/>
  <c r="L66" l="1"/>
  <c r="N65"/>
  <c r="M66"/>
  <c r="L67" l="1"/>
  <c r="N66"/>
  <c r="M67"/>
  <c r="L68" l="1"/>
  <c r="M68"/>
  <c r="N67"/>
  <c r="L69" l="1"/>
  <c r="M69"/>
  <c r="N68"/>
  <c r="L70" l="1"/>
  <c r="M70"/>
  <c r="N69"/>
  <c r="L71" l="1"/>
  <c r="M71"/>
  <c r="N70"/>
  <c r="L72" l="1"/>
  <c r="N71"/>
  <c r="M72"/>
  <c r="L73" l="1"/>
  <c r="N72"/>
  <c r="M73"/>
  <c r="L74" l="1"/>
  <c r="N73"/>
  <c r="M74"/>
  <c r="L75" l="1"/>
  <c r="N74"/>
  <c r="M75"/>
  <c r="L76" l="1"/>
  <c r="M76"/>
  <c r="N75"/>
  <c r="L77" l="1"/>
  <c r="M77"/>
  <c r="N76"/>
  <c r="L78" l="1"/>
  <c r="M78"/>
  <c r="N77"/>
  <c r="L79" l="1"/>
  <c r="M79"/>
  <c r="N78"/>
  <c r="L80" l="1"/>
  <c r="N79"/>
  <c r="M80"/>
  <c r="L81" l="1"/>
  <c r="N80"/>
  <c r="M81"/>
  <c r="L82" l="1"/>
  <c r="N81"/>
  <c r="M82"/>
  <c r="L83" l="1"/>
  <c r="N82"/>
  <c r="M83"/>
  <c r="L84" l="1"/>
  <c r="M84"/>
  <c r="N83"/>
  <c r="L85" l="1"/>
  <c r="M85"/>
  <c r="N84"/>
  <c r="L86" l="1"/>
  <c r="M86"/>
  <c r="N85"/>
  <c r="L87" l="1"/>
  <c r="M87"/>
  <c r="N86"/>
  <c r="L88" l="1"/>
  <c r="N87"/>
  <c r="M88"/>
  <c r="L89" l="1"/>
  <c r="N88"/>
  <c r="M89"/>
  <c r="L90" l="1"/>
  <c r="N89"/>
  <c r="M90"/>
  <c r="L91" l="1"/>
  <c r="N90"/>
  <c r="M91"/>
  <c r="L92" l="1"/>
  <c r="M92"/>
  <c r="N91"/>
  <c r="L93" l="1"/>
  <c r="M93"/>
  <c r="N92"/>
  <c r="L94" l="1"/>
  <c r="M94"/>
  <c r="N93"/>
  <c r="L95" l="1"/>
  <c r="M95"/>
  <c r="N94"/>
  <c r="L96" l="1"/>
  <c r="N95"/>
  <c r="M96"/>
  <c r="L97" l="1"/>
  <c r="N96"/>
  <c r="M97"/>
  <c r="L98" l="1"/>
  <c r="N97"/>
  <c r="M98"/>
  <c r="L99" l="1"/>
  <c r="N98"/>
  <c r="M99"/>
  <c r="L100" l="1"/>
  <c r="M100"/>
  <c r="N99"/>
  <c r="L101" l="1"/>
  <c r="M101"/>
  <c r="N100"/>
  <c r="L102" l="1"/>
  <c r="M102"/>
  <c r="N101"/>
  <c r="L103" l="1"/>
  <c r="M103"/>
  <c r="N102"/>
  <c r="L104" l="1"/>
  <c r="N103"/>
  <c r="M104"/>
  <c r="L105" l="1"/>
  <c r="N104"/>
  <c r="M105"/>
  <c r="L106" l="1"/>
  <c r="M106"/>
  <c r="N105"/>
  <c r="L107" l="1"/>
  <c r="N106"/>
  <c r="M107"/>
  <c r="L108" l="1"/>
  <c r="M108"/>
  <c r="N107"/>
  <c r="L109" l="1"/>
  <c r="M109"/>
  <c r="N108"/>
  <c r="L110" l="1"/>
  <c r="N109"/>
  <c r="L111" l="1"/>
  <c r="M111"/>
  <c r="N110"/>
  <c r="L112" l="1"/>
  <c r="N111"/>
  <c r="M112"/>
  <c r="L113" l="1"/>
  <c r="N112"/>
  <c r="M113"/>
  <c r="L114" l="1"/>
  <c r="M114"/>
  <c r="N113"/>
  <c r="L115" l="1"/>
  <c r="N114"/>
  <c r="M115"/>
  <c r="L116" l="1"/>
  <c r="M116"/>
  <c r="N115"/>
  <c r="L117" l="1"/>
  <c r="M117"/>
  <c r="N116"/>
  <c r="L118" l="1"/>
  <c r="N117"/>
  <c r="M118"/>
  <c r="L119" l="1"/>
  <c r="M119"/>
  <c r="N118"/>
  <c r="L120" l="1"/>
  <c r="N119"/>
  <c r="M120"/>
  <c r="L121" l="1"/>
  <c r="N120"/>
  <c r="M121"/>
  <c r="L122" l="1"/>
  <c r="L123"/>
  <c r="M122"/>
  <c r="M123" s="1"/>
  <c r="N121"/>
  <c r="N122" l="1"/>
  <c r="N123"/>
  <c r="AI16" a="1"/>
  <c r="CK123" l="1"/>
  <c r="CC123"/>
  <c r="BU123"/>
  <c r="BM123"/>
  <c r="BE123"/>
  <c r="AW123"/>
  <c r="AO123"/>
  <c r="CJ122"/>
  <c r="CB122"/>
  <c r="BT122"/>
  <c r="BL122"/>
  <c r="BD122"/>
  <c r="AV122"/>
  <c r="AN122"/>
  <c r="CI121"/>
  <c r="CA121"/>
  <c r="BS121"/>
  <c r="BK121"/>
  <c r="BC121"/>
  <c r="AU121"/>
  <c r="AM121"/>
  <c r="CH120"/>
  <c r="BZ120"/>
  <c r="BR120"/>
  <c r="BJ120"/>
  <c r="BB120"/>
  <c r="AT120"/>
  <c r="AL120"/>
  <c r="CG119"/>
  <c r="BY119"/>
  <c r="BQ119"/>
  <c r="BI119"/>
  <c r="BA119"/>
  <c r="AS119"/>
  <c r="AK119"/>
  <c r="CF118"/>
  <c r="BX118"/>
  <c r="BP118"/>
  <c r="BH118"/>
  <c r="AZ118"/>
  <c r="AR118"/>
  <c r="AJ118"/>
  <c r="CE117"/>
  <c r="BW117"/>
  <c r="BO117"/>
  <c r="BG117"/>
  <c r="AY117"/>
  <c r="AQ117"/>
  <c r="AI117"/>
  <c r="CD116"/>
  <c r="BV116"/>
  <c r="BN116"/>
  <c r="BF116"/>
  <c r="AX116"/>
  <c r="AP116"/>
  <c r="CK115"/>
  <c r="CC115"/>
  <c r="BU115"/>
  <c r="BM115"/>
  <c r="BE115"/>
  <c r="AW115"/>
  <c r="AO115"/>
  <c r="CJ114"/>
  <c r="CB114"/>
  <c r="BT114"/>
  <c r="BL114"/>
  <c r="BD114"/>
  <c r="AV114"/>
  <c r="AN114"/>
  <c r="CI113"/>
  <c r="CA113"/>
  <c r="BS113"/>
  <c r="BK113"/>
  <c r="BC113"/>
  <c r="AU113"/>
  <c r="AM113"/>
  <c r="CH112"/>
  <c r="BZ112"/>
  <c r="BR112"/>
  <c r="BJ112"/>
  <c r="BB112"/>
  <c r="AT112"/>
  <c r="AL112"/>
  <c r="CG111"/>
  <c r="BY111"/>
  <c r="BQ111"/>
  <c r="BI111"/>
  <c r="BA111"/>
  <c r="AS111"/>
  <c r="AK111"/>
  <c r="CF110"/>
  <c r="BX110"/>
  <c r="BP110"/>
  <c r="BH110"/>
  <c r="AZ110"/>
  <c r="AR110"/>
  <c r="AJ110"/>
  <c r="CE109"/>
  <c r="BW109"/>
  <c r="BO109"/>
  <c r="BG109"/>
  <c r="AY109"/>
  <c r="AQ109"/>
  <c r="AI109"/>
  <c r="CD108"/>
  <c r="BV108"/>
  <c r="BN108"/>
  <c r="BF108"/>
  <c r="AX108"/>
  <c r="AP108"/>
  <c r="CK107"/>
  <c r="CC107"/>
  <c r="BU107"/>
  <c r="BM107"/>
  <c r="BE107"/>
  <c r="AW107"/>
  <c r="AO107"/>
  <c r="CJ106"/>
  <c r="CB106"/>
  <c r="BT106"/>
  <c r="BL106"/>
  <c r="BD106"/>
  <c r="AV106"/>
  <c r="AN106"/>
  <c r="CI105"/>
  <c r="CA105"/>
  <c r="BS105"/>
  <c r="BK105"/>
  <c r="BC105"/>
  <c r="AU105"/>
  <c r="AM105"/>
  <c r="CH104"/>
  <c r="BZ104"/>
  <c r="BR104"/>
  <c r="BJ104"/>
  <c r="BB104"/>
  <c r="AT104"/>
  <c r="AL104"/>
  <c r="CG103"/>
  <c r="BY103"/>
  <c r="BQ103"/>
  <c r="BI103"/>
  <c r="BA103"/>
  <c r="AS103"/>
  <c r="AK103"/>
  <c r="CF102"/>
  <c r="BX102"/>
  <c r="BP102"/>
  <c r="BH102"/>
  <c r="AZ102"/>
  <c r="AR102"/>
  <c r="AJ102"/>
  <c r="CE101"/>
  <c r="BW101"/>
  <c r="BO101"/>
  <c r="BG101"/>
  <c r="AY101"/>
  <c r="AQ101"/>
  <c r="AI101"/>
  <c r="CD100"/>
  <c r="BV100"/>
  <c r="BN100"/>
  <c r="BF100"/>
  <c r="AX100"/>
  <c r="AP100"/>
  <c r="CK99"/>
  <c r="CC99"/>
  <c r="BU99"/>
  <c r="BM99"/>
  <c r="BE99"/>
  <c r="AW99"/>
  <c r="AO99"/>
  <c r="CJ98"/>
  <c r="CB98"/>
  <c r="BT98"/>
  <c r="BL98"/>
  <c r="BD98"/>
  <c r="AV98"/>
  <c r="AN98"/>
  <c r="CI97"/>
  <c r="CA97"/>
  <c r="BS97"/>
  <c r="BK97"/>
  <c r="BC97"/>
  <c r="AU97"/>
  <c r="AM97"/>
  <c r="CH96"/>
  <c r="BZ96"/>
  <c r="BR96"/>
  <c r="BJ96"/>
  <c r="CE123"/>
  <c r="BW123"/>
  <c r="BO123"/>
  <c r="BG123"/>
  <c r="AY123"/>
  <c r="AQ123"/>
  <c r="AI123"/>
  <c r="CD122"/>
  <c r="BV122"/>
  <c r="BN122"/>
  <c r="BF122"/>
  <c r="AX122"/>
  <c r="AP122"/>
  <c r="CK121"/>
  <c r="CC121"/>
  <c r="BU121"/>
  <c r="BM121"/>
  <c r="BE121"/>
  <c r="AW121"/>
  <c r="AO121"/>
  <c r="CJ120"/>
  <c r="CB120"/>
  <c r="BT120"/>
  <c r="BL120"/>
  <c r="BD120"/>
  <c r="AV120"/>
  <c r="AN120"/>
  <c r="CI119"/>
  <c r="CA119"/>
  <c r="BS119"/>
  <c r="BK119"/>
  <c r="BC119"/>
  <c r="AU119"/>
  <c r="AM119"/>
  <c r="CH118"/>
  <c r="BZ118"/>
  <c r="BR118"/>
  <c r="BJ118"/>
  <c r="BB118"/>
  <c r="AT118"/>
  <c r="AL118"/>
  <c r="CG117"/>
  <c r="BY117"/>
  <c r="BQ117"/>
  <c r="BI117"/>
  <c r="BA117"/>
  <c r="AS117"/>
  <c r="AK117"/>
  <c r="CF116"/>
  <c r="BX116"/>
  <c r="BP116"/>
  <c r="BH116"/>
  <c r="AZ116"/>
  <c r="AR116"/>
  <c r="AJ116"/>
  <c r="CE115"/>
  <c r="BW115"/>
  <c r="BO115"/>
  <c r="BG115"/>
  <c r="AY115"/>
  <c r="AQ115"/>
  <c r="AI115"/>
  <c r="CD114"/>
  <c r="BV114"/>
  <c r="BN114"/>
  <c r="BF114"/>
  <c r="AX114"/>
  <c r="AP114"/>
  <c r="CK113"/>
  <c r="CC113"/>
  <c r="BU113"/>
  <c r="BM113"/>
  <c r="BE113"/>
  <c r="AW113"/>
  <c r="AO113"/>
  <c r="CJ112"/>
  <c r="CB112"/>
  <c r="BT112"/>
  <c r="BL112"/>
  <c r="BD112"/>
  <c r="AV112"/>
  <c r="AN112"/>
  <c r="CI111"/>
  <c r="CA111"/>
  <c r="BS111"/>
  <c r="BK111"/>
  <c r="BC111"/>
  <c r="AU111"/>
  <c r="AM111"/>
  <c r="CH110"/>
  <c r="BZ110"/>
  <c r="BR110"/>
  <c r="BJ110"/>
  <c r="BB110"/>
  <c r="AT110"/>
  <c r="AL110"/>
  <c r="CG109"/>
  <c r="BY109"/>
  <c r="BQ109"/>
  <c r="BI109"/>
  <c r="BA109"/>
  <c r="AS109"/>
  <c r="AK109"/>
  <c r="CF108"/>
  <c r="BX108"/>
  <c r="BP108"/>
  <c r="BH108"/>
  <c r="AZ108"/>
  <c r="AR108"/>
  <c r="AJ108"/>
  <c r="CE107"/>
  <c r="BW107"/>
  <c r="BO107"/>
  <c r="BG107"/>
  <c r="AY107"/>
  <c r="AQ107"/>
  <c r="AI107"/>
  <c r="CD106"/>
  <c r="BV106"/>
  <c r="BN106"/>
  <c r="BF106"/>
  <c r="AX106"/>
  <c r="AP106"/>
  <c r="CK105"/>
  <c r="CC105"/>
  <c r="BU105"/>
  <c r="BM105"/>
  <c r="BE105"/>
  <c r="AW105"/>
  <c r="AO105"/>
  <c r="CJ104"/>
  <c r="CB104"/>
  <c r="BT104"/>
  <c r="BL104"/>
  <c r="BD104"/>
  <c r="AV104"/>
  <c r="AN104"/>
  <c r="CI103"/>
  <c r="CA103"/>
  <c r="BS103"/>
  <c r="BK103"/>
  <c r="BC103"/>
  <c r="AU103"/>
  <c r="AM103"/>
  <c r="CH102"/>
  <c r="BZ102"/>
  <c r="BR102"/>
  <c r="BJ102"/>
  <c r="BB102"/>
  <c r="AT102"/>
  <c r="AL102"/>
  <c r="CG101"/>
  <c r="BY101"/>
  <c r="BQ101"/>
  <c r="BI101"/>
  <c r="BA101"/>
  <c r="AS101"/>
  <c r="AK101"/>
  <c r="CF100"/>
  <c r="BX100"/>
  <c r="BP100"/>
  <c r="BH100"/>
  <c r="AZ100"/>
  <c r="AR100"/>
  <c r="AJ100"/>
  <c r="CE99"/>
  <c r="BW99"/>
  <c r="BO99"/>
  <c r="BG99"/>
  <c r="AY99"/>
  <c r="AQ99"/>
  <c r="AI99"/>
  <c r="CD98"/>
  <c r="BV98"/>
  <c r="BN98"/>
  <c r="BF98"/>
  <c r="AX98"/>
  <c r="AP98"/>
  <c r="CK97"/>
  <c r="CC97"/>
  <c r="CF123"/>
  <c r="BX123"/>
  <c r="BP123"/>
  <c r="BH123"/>
  <c r="AZ123"/>
  <c r="AR123"/>
  <c r="AJ123"/>
  <c r="CE122"/>
  <c r="BW122"/>
  <c r="BO122"/>
  <c r="BG122"/>
  <c r="AY122"/>
  <c r="AQ122"/>
  <c r="AI122"/>
  <c r="CD121"/>
  <c r="BV121"/>
  <c r="BN121"/>
  <c r="BF121"/>
  <c r="AX121"/>
  <c r="AP121"/>
  <c r="CK120"/>
  <c r="CC120"/>
  <c r="BU120"/>
  <c r="BM120"/>
  <c r="BE120"/>
  <c r="AW120"/>
  <c r="AO120"/>
  <c r="CJ119"/>
  <c r="CB119"/>
  <c r="BT119"/>
  <c r="BL119"/>
  <c r="BD119"/>
  <c r="AV119"/>
  <c r="AN119"/>
  <c r="CI118"/>
  <c r="CA118"/>
  <c r="BS118"/>
  <c r="BK118"/>
  <c r="BC118"/>
  <c r="AU118"/>
  <c r="AM118"/>
  <c r="CH117"/>
  <c r="BZ117"/>
  <c r="BR117"/>
  <c r="BJ117"/>
  <c r="BB117"/>
  <c r="AT117"/>
  <c r="AL117"/>
  <c r="CG116"/>
  <c r="BY116"/>
  <c r="BQ116"/>
  <c r="BI116"/>
  <c r="BA116"/>
  <c r="AS116"/>
  <c r="AK116"/>
  <c r="CF115"/>
  <c r="BX115"/>
  <c r="BP115"/>
  <c r="BH115"/>
  <c r="AZ115"/>
  <c r="AR115"/>
  <c r="AJ115"/>
  <c r="CE114"/>
  <c r="BW114"/>
  <c r="BO114"/>
  <c r="BG114"/>
  <c r="AY114"/>
  <c r="AQ114"/>
  <c r="AI114"/>
  <c r="CD113"/>
  <c r="BV113"/>
  <c r="BN113"/>
  <c r="BF113"/>
  <c r="AX113"/>
  <c r="AP113"/>
  <c r="CK112"/>
  <c r="CC112"/>
  <c r="BU112"/>
  <c r="BM112"/>
  <c r="BE112"/>
  <c r="AW112"/>
  <c r="AO112"/>
  <c r="CJ111"/>
  <c r="CB111"/>
  <c r="BT111"/>
  <c r="BL111"/>
  <c r="BD111"/>
  <c r="AV111"/>
  <c r="AN111"/>
  <c r="CI110"/>
  <c r="CA110"/>
  <c r="BS110"/>
  <c r="BK110"/>
  <c r="BC110"/>
  <c r="AU110"/>
  <c r="AM110"/>
  <c r="CH109"/>
  <c r="BZ109"/>
  <c r="BR109"/>
  <c r="BJ109"/>
  <c r="BB109"/>
  <c r="AT109"/>
  <c r="AL109"/>
  <c r="CG108"/>
  <c r="BY108"/>
  <c r="BQ108"/>
  <c r="BI108"/>
  <c r="BA108"/>
  <c r="AS108"/>
  <c r="AK108"/>
  <c r="CF107"/>
  <c r="BX107"/>
  <c r="BP107"/>
  <c r="BH107"/>
  <c r="AZ107"/>
  <c r="AR107"/>
  <c r="AJ107"/>
  <c r="CE106"/>
  <c r="BW106"/>
  <c r="BO106"/>
  <c r="BG106"/>
  <c r="AY106"/>
  <c r="AQ106"/>
  <c r="AI106"/>
  <c r="CD105"/>
  <c r="BV105"/>
  <c r="BN105"/>
  <c r="BF105"/>
  <c r="AX105"/>
  <c r="AP105"/>
  <c r="CK104"/>
  <c r="CC104"/>
  <c r="BU104"/>
  <c r="BM104"/>
  <c r="BE104"/>
  <c r="AW104"/>
  <c r="AO104"/>
  <c r="CJ103"/>
  <c r="CB103"/>
  <c r="BT103"/>
  <c r="BL103"/>
  <c r="BD103"/>
  <c r="AV103"/>
  <c r="AN103"/>
  <c r="CI102"/>
  <c r="CA102"/>
  <c r="BS102"/>
  <c r="BK102"/>
  <c r="BC102"/>
  <c r="AU102"/>
  <c r="AM102"/>
  <c r="CH101"/>
  <c r="BZ101"/>
  <c r="BR101"/>
  <c r="BJ101"/>
  <c r="BB101"/>
  <c r="AT101"/>
  <c r="AL101"/>
  <c r="CG100"/>
  <c r="BY100"/>
  <c r="BQ100"/>
  <c r="BI100"/>
  <c r="BA100"/>
  <c r="AS100"/>
  <c r="AK100"/>
  <c r="CF99"/>
  <c r="BX99"/>
  <c r="BP99"/>
  <c r="BH99"/>
  <c r="AZ99"/>
  <c r="AR99"/>
  <c r="AJ99"/>
  <c r="CE98"/>
  <c r="BW98"/>
  <c r="BO98"/>
  <c r="BG98"/>
  <c r="AY98"/>
  <c r="AQ98"/>
  <c r="AI98"/>
  <c r="CD97"/>
  <c r="BV97"/>
  <c r="BN97"/>
  <c r="BF97"/>
  <c r="AX97"/>
  <c r="AP97"/>
  <c r="CK96"/>
  <c r="CC96"/>
  <c r="BU96"/>
  <c r="BM96"/>
  <c r="CH123"/>
  <c r="BZ123"/>
  <c r="BR123"/>
  <c r="BJ123"/>
  <c r="BB123"/>
  <c r="AT123"/>
  <c r="AL123"/>
  <c r="CG122"/>
  <c r="BY122"/>
  <c r="BQ122"/>
  <c r="BI122"/>
  <c r="BA122"/>
  <c r="AS122"/>
  <c r="AK122"/>
  <c r="CF121"/>
  <c r="BX121"/>
  <c r="BP121"/>
  <c r="BH121"/>
  <c r="AZ121"/>
  <c r="AR121"/>
  <c r="AJ121"/>
  <c r="CE120"/>
  <c r="BW120"/>
  <c r="BO120"/>
  <c r="BG120"/>
  <c r="AY120"/>
  <c r="AQ120"/>
  <c r="AI120"/>
  <c r="CD119"/>
  <c r="BV119"/>
  <c r="BN119"/>
  <c r="BF119"/>
  <c r="AX119"/>
  <c r="AP119"/>
  <c r="CK118"/>
  <c r="CC118"/>
  <c r="BU118"/>
  <c r="BM118"/>
  <c r="BE118"/>
  <c r="AW118"/>
  <c r="AO118"/>
  <c r="CJ117"/>
  <c r="CB117"/>
  <c r="BT117"/>
  <c r="BL117"/>
  <c r="BD117"/>
  <c r="AV117"/>
  <c r="AN117"/>
  <c r="CI116"/>
  <c r="CA116"/>
  <c r="BS116"/>
  <c r="BK116"/>
  <c r="BC116"/>
  <c r="AU116"/>
  <c r="AM116"/>
  <c r="CH115"/>
  <c r="BZ115"/>
  <c r="BR115"/>
  <c r="BJ115"/>
  <c r="BB115"/>
  <c r="AT115"/>
  <c r="AL115"/>
  <c r="CG114"/>
  <c r="BY114"/>
  <c r="BQ114"/>
  <c r="BI114"/>
  <c r="BA114"/>
  <c r="AS114"/>
  <c r="AK114"/>
  <c r="CF113"/>
  <c r="BX113"/>
  <c r="BP113"/>
  <c r="BH113"/>
  <c r="AZ113"/>
  <c r="AR113"/>
  <c r="AJ113"/>
  <c r="CE112"/>
  <c r="BW112"/>
  <c r="BO112"/>
  <c r="BG112"/>
  <c r="AY112"/>
  <c r="AQ112"/>
  <c r="AI112"/>
  <c r="CD111"/>
  <c r="BV111"/>
  <c r="BN111"/>
  <c r="BF111"/>
  <c r="AX111"/>
  <c r="AP111"/>
  <c r="CK110"/>
  <c r="CC110"/>
  <c r="BU110"/>
  <c r="BM110"/>
  <c r="BE110"/>
  <c r="AW110"/>
  <c r="AO110"/>
  <c r="CJ109"/>
  <c r="CB109"/>
  <c r="BT109"/>
  <c r="BL109"/>
  <c r="BD109"/>
  <c r="AV109"/>
  <c r="AN109"/>
  <c r="CI108"/>
  <c r="CA108"/>
  <c r="BS108"/>
  <c r="BK108"/>
  <c r="BC108"/>
  <c r="AU108"/>
  <c r="AM108"/>
  <c r="CH107"/>
  <c r="BZ107"/>
  <c r="BR107"/>
  <c r="BJ107"/>
  <c r="BB107"/>
  <c r="AT107"/>
  <c r="AL107"/>
  <c r="CG106"/>
  <c r="BY106"/>
  <c r="BQ106"/>
  <c r="BI106"/>
  <c r="BA106"/>
  <c r="AS106"/>
  <c r="AK106"/>
  <c r="CF105"/>
  <c r="BX105"/>
  <c r="BP105"/>
  <c r="BH105"/>
  <c r="AZ105"/>
  <c r="AR105"/>
  <c r="AJ105"/>
  <c r="CE104"/>
  <c r="BW104"/>
  <c r="BO104"/>
  <c r="BG104"/>
  <c r="AY104"/>
  <c r="AQ104"/>
  <c r="AI104"/>
  <c r="CD103"/>
  <c r="BV103"/>
  <c r="BN103"/>
  <c r="BF103"/>
  <c r="AX103"/>
  <c r="AP103"/>
  <c r="CK102"/>
  <c r="CC102"/>
  <c r="BU102"/>
  <c r="BM102"/>
  <c r="BE102"/>
  <c r="AW102"/>
  <c r="AO102"/>
  <c r="CJ101"/>
  <c r="CB101"/>
  <c r="BT101"/>
  <c r="BL101"/>
  <c r="BD101"/>
  <c r="AV101"/>
  <c r="AN101"/>
  <c r="CI100"/>
  <c r="CA100"/>
  <c r="BS100"/>
  <c r="BK100"/>
  <c r="BC100"/>
  <c r="AU100"/>
  <c r="AM100"/>
  <c r="CH99"/>
  <c r="BZ99"/>
  <c r="BR99"/>
  <c r="BJ99"/>
  <c r="BB99"/>
  <c r="AT99"/>
  <c r="AL99"/>
  <c r="CG98"/>
  <c r="BY98"/>
  <c r="BQ98"/>
  <c r="BI98"/>
  <c r="BA98"/>
  <c r="AS98"/>
  <c r="AK98"/>
  <c r="CF97"/>
  <c r="BX97"/>
  <c r="CG123"/>
  <c r="BQ123"/>
  <c r="BA123"/>
  <c r="AK123"/>
  <c r="BX122"/>
  <c r="BH122"/>
  <c r="AR122"/>
  <c r="CE121"/>
  <c r="BO121"/>
  <c r="AY121"/>
  <c r="AI121"/>
  <c r="BV120"/>
  <c r="BF120"/>
  <c r="AP120"/>
  <c r="CC119"/>
  <c r="BM119"/>
  <c r="AW119"/>
  <c r="CJ118"/>
  <c r="BT118"/>
  <c r="BD118"/>
  <c r="AN118"/>
  <c r="CA117"/>
  <c r="BK117"/>
  <c r="AU117"/>
  <c r="CH116"/>
  <c r="BR116"/>
  <c r="BB116"/>
  <c r="AL116"/>
  <c r="BY115"/>
  <c r="BI115"/>
  <c r="AS115"/>
  <c r="CF114"/>
  <c r="BP114"/>
  <c r="AZ114"/>
  <c r="AJ114"/>
  <c r="BW113"/>
  <c r="BG113"/>
  <c r="AQ113"/>
  <c r="CD112"/>
  <c r="BN112"/>
  <c r="AX112"/>
  <c r="CK111"/>
  <c r="BU111"/>
  <c r="BE111"/>
  <c r="AO111"/>
  <c r="CB110"/>
  <c r="BL110"/>
  <c r="AV110"/>
  <c r="CI109"/>
  <c r="BS109"/>
  <c r="BC109"/>
  <c r="AM109"/>
  <c r="BZ108"/>
  <c r="BJ108"/>
  <c r="AT108"/>
  <c r="CG107"/>
  <c r="BQ107"/>
  <c r="BA107"/>
  <c r="AK107"/>
  <c r="BX106"/>
  <c r="BH106"/>
  <c r="AR106"/>
  <c r="CE105"/>
  <c r="BO105"/>
  <c r="AY105"/>
  <c r="AI105"/>
  <c r="BV104"/>
  <c r="BF104"/>
  <c r="AP104"/>
  <c r="CC103"/>
  <c r="BM103"/>
  <c r="AW103"/>
  <c r="CJ102"/>
  <c r="BT102"/>
  <c r="BD102"/>
  <c r="AN102"/>
  <c r="CA101"/>
  <c r="BK101"/>
  <c r="AU101"/>
  <c r="CH100"/>
  <c r="BR100"/>
  <c r="BB100"/>
  <c r="AL100"/>
  <c r="BY99"/>
  <c r="BI99"/>
  <c r="AS99"/>
  <c r="CF98"/>
  <c r="BP98"/>
  <c r="AZ98"/>
  <c r="AJ98"/>
  <c r="BW97"/>
  <c r="BL97"/>
  <c r="BA97"/>
  <c r="AQ97"/>
  <c r="CI96"/>
  <c r="BX96"/>
  <c r="BN96"/>
  <c r="BD96"/>
  <c r="AV96"/>
  <c r="AN96"/>
  <c r="CI95"/>
  <c r="CA95"/>
  <c r="BS95"/>
  <c r="BK95"/>
  <c r="BC95"/>
  <c r="AU95"/>
  <c r="AM95"/>
  <c r="CH94"/>
  <c r="BZ94"/>
  <c r="BR94"/>
  <c r="BJ94"/>
  <c r="BB94"/>
  <c r="AT94"/>
  <c r="AL94"/>
  <c r="CG93"/>
  <c r="BY93"/>
  <c r="BQ93"/>
  <c r="BI93"/>
  <c r="BA93"/>
  <c r="AS93"/>
  <c r="AK93"/>
  <c r="CF92"/>
  <c r="BX92"/>
  <c r="BP92"/>
  <c r="BH92"/>
  <c r="AZ92"/>
  <c r="AR92"/>
  <c r="AJ92"/>
  <c r="CE91"/>
  <c r="BW91"/>
  <c r="BO91"/>
  <c r="BG91"/>
  <c r="AY91"/>
  <c r="AQ91"/>
  <c r="AI91"/>
  <c r="CD90"/>
  <c r="BV90"/>
  <c r="BN90"/>
  <c r="BF90"/>
  <c r="AX90"/>
  <c r="AP90"/>
  <c r="CK89"/>
  <c r="CC89"/>
  <c r="BU89"/>
  <c r="BM89"/>
  <c r="BE89"/>
  <c r="AW89"/>
  <c r="AO89"/>
  <c r="CJ88"/>
  <c r="CB88"/>
  <c r="BT88"/>
  <c r="BL88"/>
  <c r="BD88"/>
  <c r="AV88"/>
  <c r="AN88"/>
  <c r="CI87"/>
  <c r="CA87"/>
  <c r="BS87"/>
  <c r="BK87"/>
  <c r="BC87"/>
  <c r="AU87"/>
  <c r="AM87"/>
  <c r="CH86"/>
  <c r="BZ86"/>
  <c r="BR86"/>
  <c r="BJ86"/>
  <c r="BB86"/>
  <c r="AT86"/>
  <c r="AL86"/>
  <c r="CG85"/>
  <c r="BY85"/>
  <c r="BQ85"/>
  <c r="BI85"/>
  <c r="BA85"/>
  <c r="AS85"/>
  <c r="AK85"/>
  <c r="CF84"/>
  <c r="BX84"/>
  <c r="BP84"/>
  <c r="BH84"/>
  <c r="AZ84"/>
  <c r="AR84"/>
  <c r="AJ84"/>
  <c r="CE83"/>
  <c r="BW83"/>
  <c r="BO83"/>
  <c r="BG83"/>
  <c r="AY83"/>
  <c r="AQ83"/>
  <c r="AI83"/>
  <c r="CD82"/>
  <c r="BV82"/>
  <c r="BN82"/>
  <c r="BF82"/>
  <c r="AX82"/>
  <c r="AP82"/>
  <c r="CK81"/>
  <c r="CC81"/>
  <c r="BU81"/>
  <c r="BM81"/>
  <c r="BE81"/>
  <c r="AW81"/>
  <c r="AO81"/>
  <c r="CJ80"/>
  <c r="CB80"/>
  <c r="BT80"/>
  <c r="BL80"/>
  <c r="BD80"/>
  <c r="AV80"/>
  <c r="AN80"/>
  <c r="CI79"/>
  <c r="CA79"/>
  <c r="BS79"/>
  <c r="BK79"/>
  <c r="BC79"/>
  <c r="AU79"/>
  <c r="AM79"/>
  <c r="CH78"/>
  <c r="BZ78"/>
  <c r="BR78"/>
  <c r="BJ78"/>
  <c r="BB78"/>
  <c r="AT78"/>
  <c r="AL78"/>
  <c r="CG77"/>
  <c r="BY77"/>
  <c r="BQ77"/>
  <c r="BI77"/>
  <c r="CI123"/>
  <c r="BS123"/>
  <c r="BC123"/>
  <c r="AM123"/>
  <c r="BZ122"/>
  <c r="BJ122"/>
  <c r="AT122"/>
  <c r="CG121"/>
  <c r="BQ121"/>
  <c r="BA121"/>
  <c r="AK121"/>
  <c r="BX120"/>
  <c r="BH120"/>
  <c r="AR120"/>
  <c r="CE119"/>
  <c r="BO119"/>
  <c r="AY119"/>
  <c r="AI119"/>
  <c r="BV118"/>
  <c r="BF118"/>
  <c r="AP118"/>
  <c r="CC117"/>
  <c r="BM117"/>
  <c r="AW117"/>
  <c r="CJ116"/>
  <c r="BT116"/>
  <c r="BD116"/>
  <c r="AN116"/>
  <c r="CA115"/>
  <c r="BK115"/>
  <c r="AU115"/>
  <c r="CH114"/>
  <c r="BR114"/>
  <c r="BB114"/>
  <c r="AL114"/>
  <c r="BY113"/>
  <c r="BI113"/>
  <c r="AS113"/>
  <c r="CF112"/>
  <c r="BP112"/>
  <c r="AZ112"/>
  <c r="AJ112"/>
  <c r="BW111"/>
  <c r="BG111"/>
  <c r="AQ111"/>
  <c r="CD110"/>
  <c r="BN110"/>
  <c r="AX110"/>
  <c r="CK109"/>
  <c r="BU109"/>
  <c r="BE109"/>
  <c r="AO109"/>
  <c r="CB108"/>
  <c r="BL108"/>
  <c r="AV108"/>
  <c r="CI107"/>
  <c r="BS107"/>
  <c r="BC107"/>
  <c r="AM107"/>
  <c r="BZ106"/>
  <c r="BJ106"/>
  <c r="AT106"/>
  <c r="CG105"/>
  <c r="BQ105"/>
  <c r="BA105"/>
  <c r="AK105"/>
  <c r="BX104"/>
  <c r="BH104"/>
  <c r="AR104"/>
  <c r="CE103"/>
  <c r="BO103"/>
  <c r="AY103"/>
  <c r="AI103"/>
  <c r="BV102"/>
  <c r="BF102"/>
  <c r="AP102"/>
  <c r="CC101"/>
  <c r="BM101"/>
  <c r="AW101"/>
  <c r="CJ100"/>
  <c r="BT100"/>
  <c r="BD100"/>
  <c r="AN100"/>
  <c r="CA99"/>
  <c r="BK99"/>
  <c r="AU99"/>
  <c r="CH98"/>
  <c r="BR98"/>
  <c r="BB98"/>
  <c r="AL98"/>
  <c r="BY97"/>
  <c r="BM97"/>
  <c r="BB97"/>
  <c r="AR97"/>
  <c r="CJ96"/>
  <c r="BY96"/>
  <c r="BO96"/>
  <c r="BE96"/>
  <c r="AW96"/>
  <c r="AO96"/>
  <c r="CJ95"/>
  <c r="CB95"/>
  <c r="BT95"/>
  <c r="BL95"/>
  <c r="BD95"/>
  <c r="AV95"/>
  <c r="AN95"/>
  <c r="CI94"/>
  <c r="CA94"/>
  <c r="BS94"/>
  <c r="BK94"/>
  <c r="BC94"/>
  <c r="AU94"/>
  <c r="AM94"/>
  <c r="CH93"/>
  <c r="BZ93"/>
  <c r="BR93"/>
  <c r="BJ93"/>
  <c r="BB93"/>
  <c r="AT93"/>
  <c r="AL93"/>
  <c r="CG92"/>
  <c r="BY92"/>
  <c r="BQ92"/>
  <c r="BI92"/>
  <c r="BA92"/>
  <c r="AS92"/>
  <c r="AK92"/>
  <c r="CF91"/>
  <c r="BX91"/>
  <c r="BP91"/>
  <c r="BH91"/>
  <c r="AZ91"/>
  <c r="AR91"/>
  <c r="AJ91"/>
  <c r="CE90"/>
  <c r="BW90"/>
  <c r="BO90"/>
  <c r="BG90"/>
  <c r="AY90"/>
  <c r="AQ90"/>
  <c r="AI90"/>
  <c r="CD89"/>
  <c r="BV89"/>
  <c r="BN89"/>
  <c r="BF89"/>
  <c r="AX89"/>
  <c r="AP89"/>
  <c r="CK88"/>
  <c r="CC88"/>
  <c r="BU88"/>
  <c r="BM88"/>
  <c r="BE88"/>
  <c r="AW88"/>
  <c r="AO88"/>
  <c r="CJ87"/>
  <c r="CB87"/>
  <c r="BT87"/>
  <c r="BL87"/>
  <c r="BD87"/>
  <c r="AV87"/>
  <c r="AN87"/>
  <c r="CI86"/>
  <c r="CA86"/>
  <c r="BS86"/>
  <c r="BK86"/>
  <c r="BC86"/>
  <c r="AU86"/>
  <c r="AM86"/>
  <c r="CH85"/>
  <c r="BZ85"/>
  <c r="BR85"/>
  <c r="BJ85"/>
  <c r="BB85"/>
  <c r="AT85"/>
  <c r="AL85"/>
  <c r="CG84"/>
  <c r="BY84"/>
  <c r="BQ84"/>
  <c r="BI84"/>
  <c r="BA84"/>
  <c r="AS84"/>
  <c r="AK84"/>
  <c r="CF83"/>
  <c r="BX83"/>
  <c r="BP83"/>
  <c r="BH83"/>
  <c r="AZ83"/>
  <c r="AR83"/>
  <c r="AJ83"/>
  <c r="CE82"/>
  <c r="BW82"/>
  <c r="BO82"/>
  <c r="BG82"/>
  <c r="AY82"/>
  <c r="AQ82"/>
  <c r="AI82"/>
  <c r="CD81"/>
  <c r="BV81"/>
  <c r="BN81"/>
  <c r="BF81"/>
  <c r="AX81"/>
  <c r="AP81"/>
  <c r="CK80"/>
  <c r="CC80"/>
  <c r="CJ123"/>
  <c r="BT123"/>
  <c r="BD123"/>
  <c r="AN123"/>
  <c r="CA122"/>
  <c r="BK122"/>
  <c r="AU122"/>
  <c r="CH121"/>
  <c r="BR121"/>
  <c r="BB121"/>
  <c r="AL121"/>
  <c r="BY120"/>
  <c r="BI120"/>
  <c r="AS120"/>
  <c r="CF119"/>
  <c r="BP119"/>
  <c r="AZ119"/>
  <c r="AJ119"/>
  <c r="BW118"/>
  <c r="BG118"/>
  <c r="AQ118"/>
  <c r="CD117"/>
  <c r="BN117"/>
  <c r="AX117"/>
  <c r="CK116"/>
  <c r="BU116"/>
  <c r="BE116"/>
  <c r="AO116"/>
  <c r="CB115"/>
  <c r="BL115"/>
  <c r="AV115"/>
  <c r="CI114"/>
  <c r="BS114"/>
  <c r="BC114"/>
  <c r="AM114"/>
  <c r="BZ113"/>
  <c r="BJ113"/>
  <c r="AT113"/>
  <c r="CG112"/>
  <c r="BQ112"/>
  <c r="BA112"/>
  <c r="AK112"/>
  <c r="BX111"/>
  <c r="BH111"/>
  <c r="AR111"/>
  <c r="CE110"/>
  <c r="BO110"/>
  <c r="AY110"/>
  <c r="AI110"/>
  <c r="BV109"/>
  <c r="BF109"/>
  <c r="AP109"/>
  <c r="CC108"/>
  <c r="BM108"/>
  <c r="AW108"/>
  <c r="CJ107"/>
  <c r="BT107"/>
  <c r="BD107"/>
  <c r="AN107"/>
  <c r="CA106"/>
  <c r="BK106"/>
  <c r="AU106"/>
  <c r="CH105"/>
  <c r="BR105"/>
  <c r="BB105"/>
  <c r="AL105"/>
  <c r="BY104"/>
  <c r="BI104"/>
  <c r="AS104"/>
  <c r="CF103"/>
  <c r="BP103"/>
  <c r="AZ103"/>
  <c r="AJ103"/>
  <c r="BW102"/>
  <c r="BG102"/>
  <c r="AQ102"/>
  <c r="CD101"/>
  <c r="BN101"/>
  <c r="AX101"/>
  <c r="CK100"/>
  <c r="BU100"/>
  <c r="BE100"/>
  <c r="AO100"/>
  <c r="CB99"/>
  <c r="BL99"/>
  <c r="AV99"/>
  <c r="CI98"/>
  <c r="BS98"/>
  <c r="BC98"/>
  <c r="AM98"/>
  <c r="BZ97"/>
  <c r="BO97"/>
  <c r="BD97"/>
  <c r="AS97"/>
  <c r="AI97"/>
  <c r="CA96"/>
  <c r="BP96"/>
  <c r="BF96"/>
  <c r="AX96"/>
  <c r="AP96"/>
  <c r="CK95"/>
  <c r="CC95"/>
  <c r="BU95"/>
  <c r="BM95"/>
  <c r="BE95"/>
  <c r="AW95"/>
  <c r="AO95"/>
  <c r="CJ94"/>
  <c r="CB94"/>
  <c r="BT94"/>
  <c r="BL94"/>
  <c r="BD94"/>
  <c r="AV94"/>
  <c r="AN94"/>
  <c r="CI93"/>
  <c r="CA93"/>
  <c r="BS93"/>
  <c r="BK93"/>
  <c r="BC93"/>
  <c r="AU93"/>
  <c r="AM93"/>
  <c r="CH92"/>
  <c r="BZ92"/>
  <c r="BR92"/>
  <c r="BJ92"/>
  <c r="BB92"/>
  <c r="AT92"/>
  <c r="AL92"/>
  <c r="CG91"/>
  <c r="BY91"/>
  <c r="BQ91"/>
  <c r="BI91"/>
  <c r="BA91"/>
  <c r="AS91"/>
  <c r="AK91"/>
  <c r="CF90"/>
  <c r="BX90"/>
  <c r="BP90"/>
  <c r="BH90"/>
  <c r="AZ90"/>
  <c r="AR90"/>
  <c r="AJ90"/>
  <c r="CE89"/>
  <c r="BW89"/>
  <c r="BO89"/>
  <c r="BG89"/>
  <c r="AY89"/>
  <c r="AQ89"/>
  <c r="AI89"/>
  <c r="CD88"/>
  <c r="BV88"/>
  <c r="BN88"/>
  <c r="BF88"/>
  <c r="AX88"/>
  <c r="AP88"/>
  <c r="CK87"/>
  <c r="CC87"/>
  <c r="BU87"/>
  <c r="BM87"/>
  <c r="BE87"/>
  <c r="AW87"/>
  <c r="AO87"/>
  <c r="CJ86"/>
  <c r="CB86"/>
  <c r="BT86"/>
  <c r="BL86"/>
  <c r="BD86"/>
  <c r="AV86"/>
  <c r="AN86"/>
  <c r="CI85"/>
  <c r="CA85"/>
  <c r="BS85"/>
  <c r="BK85"/>
  <c r="BC85"/>
  <c r="AU85"/>
  <c r="AM85"/>
  <c r="CH84"/>
  <c r="BZ84"/>
  <c r="BR84"/>
  <c r="BJ84"/>
  <c r="BB84"/>
  <c r="AT84"/>
  <c r="AL84"/>
  <c r="CG83"/>
  <c r="BY83"/>
  <c r="BQ83"/>
  <c r="BI83"/>
  <c r="BA83"/>
  <c r="AS83"/>
  <c r="AK83"/>
  <c r="CF82"/>
  <c r="BX82"/>
  <c r="BP82"/>
  <c r="BH82"/>
  <c r="AZ82"/>
  <c r="AR82"/>
  <c r="AJ82"/>
  <c r="CE81"/>
  <c r="BW81"/>
  <c r="BO81"/>
  <c r="BG81"/>
  <c r="AY81"/>
  <c r="AQ81"/>
  <c r="AI81"/>
  <c r="CD80"/>
  <c r="BV123"/>
  <c r="BF123"/>
  <c r="AP123"/>
  <c r="CC122"/>
  <c r="BM122"/>
  <c r="AW122"/>
  <c r="CJ121"/>
  <c r="BT121"/>
  <c r="BD121"/>
  <c r="AN121"/>
  <c r="CA120"/>
  <c r="BK120"/>
  <c r="AU120"/>
  <c r="CH119"/>
  <c r="BR119"/>
  <c r="BB119"/>
  <c r="AL119"/>
  <c r="BY118"/>
  <c r="BI118"/>
  <c r="AS118"/>
  <c r="CF117"/>
  <c r="BP117"/>
  <c r="AZ117"/>
  <c r="AJ117"/>
  <c r="BW116"/>
  <c r="BG116"/>
  <c r="AQ116"/>
  <c r="CD115"/>
  <c r="BN115"/>
  <c r="AX115"/>
  <c r="CK114"/>
  <c r="BU114"/>
  <c r="BE114"/>
  <c r="AO114"/>
  <c r="CB113"/>
  <c r="BL113"/>
  <c r="AV113"/>
  <c r="CI112"/>
  <c r="BS112"/>
  <c r="BC112"/>
  <c r="AM112"/>
  <c r="BZ111"/>
  <c r="BJ111"/>
  <c r="AT111"/>
  <c r="CG110"/>
  <c r="BQ110"/>
  <c r="BA110"/>
  <c r="AK110"/>
  <c r="BX109"/>
  <c r="BH109"/>
  <c r="AR109"/>
  <c r="CE108"/>
  <c r="BO108"/>
  <c r="AY108"/>
  <c r="AI108"/>
  <c r="BV107"/>
  <c r="BF107"/>
  <c r="AP107"/>
  <c r="CC106"/>
  <c r="BM106"/>
  <c r="AW106"/>
  <c r="CJ105"/>
  <c r="BT105"/>
  <c r="BD105"/>
  <c r="AN105"/>
  <c r="CA104"/>
  <c r="BK104"/>
  <c r="AU104"/>
  <c r="CH103"/>
  <c r="BR103"/>
  <c r="BB103"/>
  <c r="AL103"/>
  <c r="BY102"/>
  <c r="BI102"/>
  <c r="AS102"/>
  <c r="CF101"/>
  <c r="BP101"/>
  <c r="AZ101"/>
  <c r="AJ101"/>
  <c r="BW100"/>
  <c r="BG100"/>
  <c r="AQ100"/>
  <c r="CD99"/>
  <c r="BN99"/>
  <c r="AX99"/>
  <c r="CK98"/>
  <c r="BU98"/>
  <c r="BE98"/>
  <c r="AO98"/>
  <c r="CB97"/>
  <c r="BP97"/>
  <c r="BE97"/>
  <c r="AT97"/>
  <c r="AJ97"/>
  <c r="CB96"/>
  <c r="BQ96"/>
  <c r="BG96"/>
  <c r="AY96"/>
  <c r="AQ96"/>
  <c r="AI96"/>
  <c r="CD95"/>
  <c r="BV95"/>
  <c r="BN95"/>
  <c r="BF95"/>
  <c r="AX95"/>
  <c r="AP95"/>
  <c r="CK94"/>
  <c r="CC94"/>
  <c r="BU94"/>
  <c r="BM94"/>
  <c r="BE94"/>
  <c r="AW94"/>
  <c r="AO94"/>
  <c r="CJ93"/>
  <c r="CB93"/>
  <c r="BT93"/>
  <c r="BL93"/>
  <c r="BD93"/>
  <c r="AV93"/>
  <c r="AN93"/>
  <c r="CI92"/>
  <c r="CA92"/>
  <c r="BS92"/>
  <c r="BK92"/>
  <c r="BC92"/>
  <c r="AU92"/>
  <c r="AM92"/>
  <c r="CH91"/>
  <c r="BZ91"/>
  <c r="BR91"/>
  <c r="BJ91"/>
  <c r="BB91"/>
  <c r="AT91"/>
  <c r="AL91"/>
  <c r="CG90"/>
  <c r="BY90"/>
  <c r="BQ90"/>
  <c r="BI90"/>
  <c r="BA90"/>
  <c r="AS90"/>
  <c r="AK90"/>
  <c r="CF89"/>
  <c r="BX89"/>
  <c r="BP89"/>
  <c r="BH89"/>
  <c r="AZ89"/>
  <c r="AR89"/>
  <c r="AJ89"/>
  <c r="CE88"/>
  <c r="BW88"/>
  <c r="BO88"/>
  <c r="BG88"/>
  <c r="AY88"/>
  <c r="AQ88"/>
  <c r="AI88"/>
  <c r="CD87"/>
  <c r="BV87"/>
  <c r="BN87"/>
  <c r="BF87"/>
  <c r="AX87"/>
  <c r="AP87"/>
  <c r="CK86"/>
  <c r="CC86"/>
  <c r="BU86"/>
  <c r="BM86"/>
  <c r="BE86"/>
  <c r="AW86"/>
  <c r="AO86"/>
  <c r="CJ85"/>
  <c r="CB85"/>
  <c r="BT85"/>
  <c r="BL85"/>
  <c r="BD85"/>
  <c r="AV85"/>
  <c r="AN85"/>
  <c r="CI84"/>
  <c r="CA84"/>
  <c r="BS84"/>
  <c r="BK84"/>
  <c r="BC84"/>
  <c r="AU84"/>
  <c r="AM84"/>
  <c r="CH83"/>
  <c r="BZ83"/>
  <c r="BR83"/>
  <c r="BJ83"/>
  <c r="BB83"/>
  <c r="AT83"/>
  <c r="AL83"/>
  <c r="CG82"/>
  <c r="BY82"/>
  <c r="BQ82"/>
  <c r="BI82"/>
  <c r="BA82"/>
  <c r="AS82"/>
  <c r="AK82"/>
  <c r="CF81"/>
  <c r="BX81"/>
  <c r="BP81"/>
  <c r="BH81"/>
  <c r="AZ81"/>
  <c r="AR81"/>
  <c r="AJ81"/>
  <c r="CE80"/>
  <c r="BW80"/>
  <c r="BO80"/>
  <c r="BG80"/>
  <c r="AY80"/>
  <c r="AQ80"/>
  <c r="AI80"/>
  <c r="CD79"/>
  <c r="BV79"/>
  <c r="BN79"/>
  <c r="BF79"/>
  <c r="AX79"/>
  <c r="AP79"/>
  <c r="CK78"/>
  <c r="CC78"/>
  <c r="BU78"/>
  <c r="BM78"/>
  <c r="BE78"/>
  <c r="AW78"/>
  <c r="AO78"/>
  <c r="CJ77"/>
  <c r="CB77"/>
  <c r="BT77"/>
  <c r="BL77"/>
  <c r="BY123"/>
  <c r="BI123"/>
  <c r="AS123"/>
  <c r="CF122"/>
  <c r="BP122"/>
  <c r="AZ122"/>
  <c r="AJ122"/>
  <c r="BW121"/>
  <c r="BG121"/>
  <c r="AQ121"/>
  <c r="CD120"/>
  <c r="BN120"/>
  <c r="AX120"/>
  <c r="CK119"/>
  <c r="BU119"/>
  <c r="BE119"/>
  <c r="AO119"/>
  <c r="CB118"/>
  <c r="BL118"/>
  <c r="AV118"/>
  <c r="CI117"/>
  <c r="BS117"/>
  <c r="BC117"/>
  <c r="AM117"/>
  <c r="BZ116"/>
  <c r="BJ116"/>
  <c r="AT116"/>
  <c r="CG115"/>
  <c r="BQ115"/>
  <c r="BA115"/>
  <c r="AK115"/>
  <c r="BX114"/>
  <c r="BH114"/>
  <c r="AR114"/>
  <c r="CE113"/>
  <c r="BO113"/>
  <c r="AY113"/>
  <c r="AI113"/>
  <c r="BV112"/>
  <c r="BF112"/>
  <c r="AP112"/>
  <c r="CC111"/>
  <c r="BM111"/>
  <c r="AW111"/>
  <c r="CJ110"/>
  <c r="BT110"/>
  <c r="BD110"/>
  <c r="AN110"/>
  <c r="CA109"/>
  <c r="BK109"/>
  <c r="AU109"/>
  <c r="CH108"/>
  <c r="BR108"/>
  <c r="BB108"/>
  <c r="AL108"/>
  <c r="BY107"/>
  <c r="BI107"/>
  <c r="AS107"/>
  <c r="CF106"/>
  <c r="BP106"/>
  <c r="AZ106"/>
  <c r="AJ106"/>
  <c r="BW105"/>
  <c r="BG105"/>
  <c r="AQ105"/>
  <c r="CD104"/>
  <c r="BN104"/>
  <c r="AX104"/>
  <c r="CK103"/>
  <c r="BU103"/>
  <c r="BE103"/>
  <c r="AO103"/>
  <c r="CB102"/>
  <c r="BL102"/>
  <c r="AV102"/>
  <c r="CI101"/>
  <c r="BS101"/>
  <c r="BC101"/>
  <c r="AM101"/>
  <c r="BZ100"/>
  <c r="BJ100"/>
  <c r="AT100"/>
  <c r="CG99"/>
  <c r="BQ99"/>
  <c r="BA99"/>
  <c r="AK99"/>
  <c r="BX98"/>
  <c r="BH98"/>
  <c r="AR98"/>
  <c r="CE97"/>
  <c r="BQ97"/>
  <c r="BG97"/>
  <c r="AV97"/>
  <c r="AK97"/>
  <c r="CD96"/>
  <c r="BS96"/>
  <c r="BH96"/>
  <c r="AZ96"/>
  <c r="AR96"/>
  <c r="AJ96"/>
  <c r="CE95"/>
  <c r="BW95"/>
  <c r="BO95"/>
  <c r="BG95"/>
  <c r="AY95"/>
  <c r="AQ95"/>
  <c r="AI95"/>
  <c r="CD94"/>
  <c r="BV94"/>
  <c r="BN94"/>
  <c r="BF94"/>
  <c r="AX94"/>
  <c r="AP94"/>
  <c r="CK93"/>
  <c r="CC93"/>
  <c r="BU93"/>
  <c r="BM93"/>
  <c r="BE93"/>
  <c r="AW93"/>
  <c r="AO93"/>
  <c r="CJ92"/>
  <c r="CB92"/>
  <c r="BT92"/>
  <c r="BL92"/>
  <c r="BD92"/>
  <c r="AV92"/>
  <c r="AN92"/>
  <c r="CI91"/>
  <c r="CA91"/>
  <c r="BS91"/>
  <c r="BK91"/>
  <c r="BC91"/>
  <c r="AU91"/>
  <c r="AM91"/>
  <c r="CH90"/>
  <c r="BZ90"/>
  <c r="BR90"/>
  <c r="BJ90"/>
  <c r="BB90"/>
  <c r="AT90"/>
  <c r="AL90"/>
  <c r="CG89"/>
  <c r="BY89"/>
  <c r="BQ89"/>
  <c r="BI89"/>
  <c r="BA89"/>
  <c r="AS89"/>
  <c r="AK89"/>
  <c r="CF88"/>
  <c r="BX88"/>
  <c r="BP88"/>
  <c r="BH88"/>
  <c r="AZ88"/>
  <c r="AR88"/>
  <c r="AJ88"/>
  <c r="CE87"/>
  <c r="BW87"/>
  <c r="BO87"/>
  <c r="BG87"/>
  <c r="AY87"/>
  <c r="AQ87"/>
  <c r="AI87"/>
  <c r="CD86"/>
  <c r="BV86"/>
  <c r="BN86"/>
  <c r="BF86"/>
  <c r="AX86"/>
  <c r="AP86"/>
  <c r="CK85"/>
  <c r="CC85"/>
  <c r="BU85"/>
  <c r="BM85"/>
  <c r="BE85"/>
  <c r="AW85"/>
  <c r="AO85"/>
  <c r="CJ84"/>
  <c r="CB84"/>
  <c r="BT84"/>
  <c r="BL84"/>
  <c r="BD84"/>
  <c r="AV84"/>
  <c r="AN84"/>
  <c r="CI83"/>
  <c r="CA83"/>
  <c r="BS83"/>
  <c r="BK83"/>
  <c r="BC83"/>
  <c r="AU83"/>
  <c r="AM83"/>
  <c r="CH82"/>
  <c r="BZ82"/>
  <c r="BR82"/>
  <c r="BJ82"/>
  <c r="BB82"/>
  <c r="AT82"/>
  <c r="AL82"/>
  <c r="CG81"/>
  <c r="BY81"/>
  <c r="BQ81"/>
  <c r="BI81"/>
  <c r="BA81"/>
  <c r="AS81"/>
  <c r="AK81"/>
  <c r="CF80"/>
  <c r="BX80"/>
  <c r="BP80"/>
  <c r="BH80"/>
  <c r="AZ80"/>
  <c r="AR80"/>
  <c r="AJ80"/>
  <c r="CE79"/>
  <c r="BW79"/>
  <c r="BO79"/>
  <c r="BG79"/>
  <c r="AY79"/>
  <c r="AQ79"/>
  <c r="AI79"/>
  <c r="CD78"/>
  <c r="BV78"/>
  <c r="BN78"/>
  <c r="BF78"/>
  <c r="AX78"/>
  <c r="AP78"/>
  <c r="CK77"/>
  <c r="CC77"/>
  <c r="BU77"/>
  <c r="CA123"/>
  <c r="BK123"/>
  <c r="AU123"/>
  <c r="CH122"/>
  <c r="BR122"/>
  <c r="BB122"/>
  <c r="AL122"/>
  <c r="BY121"/>
  <c r="BI121"/>
  <c r="AS121"/>
  <c r="CF120"/>
  <c r="BP120"/>
  <c r="AZ120"/>
  <c r="AJ120"/>
  <c r="BW119"/>
  <c r="BG119"/>
  <c r="AQ119"/>
  <c r="CD118"/>
  <c r="BN118"/>
  <c r="AX118"/>
  <c r="CK117"/>
  <c r="BU117"/>
  <c r="BE117"/>
  <c r="AO117"/>
  <c r="CB116"/>
  <c r="BL116"/>
  <c r="AV116"/>
  <c r="CI115"/>
  <c r="BS115"/>
  <c r="BC115"/>
  <c r="AM115"/>
  <c r="BZ114"/>
  <c r="BJ114"/>
  <c r="AT114"/>
  <c r="CG113"/>
  <c r="BQ113"/>
  <c r="BA113"/>
  <c r="AK113"/>
  <c r="BX112"/>
  <c r="BH112"/>
  <c r="AR112"/>
  <c r="CE111"/>
  <c r="BO111"/>
  <c r="AY111"/>
  <c r="AI111"/>
  <c r="BV110"/>
  <c r="BF110"/>
  <c r="AP110"/>
  <c r="CC109"/>
  <c r="BM109"/>
  <c r="AW109"/>
  <c r="CJ108"/>
  <c r="BT108"/>
  <c r="BD108"/>
  <c r="AN108"/>
  <c r="CA107"/>
  <c r="BK107"/>
  <c r="AU107"/>
  <c r="CH106"/>
  <c r="BR106"/>
  <c r="BB106"/>
  <c r="AL106"/>
  <c r="BY105"/>
  <c r="BI105"/>
  <c r="AS105"/>
  <c r="CF104"/>
  <c r="BP104"/>
  <c r="AZ104"/>
  <c r="AJ104"/>
  <c r="BW103"/>
  <c r="BG103"/>
  <c r="AQ103"/>
  <c r="CD102"/>
  <c r="BN102"/>
  <c r="AX102"/>
  <c r="CK101"/>
  <c r="BU101"/>
  <c r="BE101"/>
  <c r="AO101"/>
  <c r="CB100"/>
  <c r="BL100"/>
  <c r="AV100"/>
  <c r="CI99"/>
  <c r="BS99"/>
  <c r="BC99"/>
  <c r="AM99"/>
  <c r="BZ98"/>
  <c r="BJ98"/>
  <c r="AT98"/>
  <c r="CG97"/>
  <c r="BR97"/>
  <c r="BH97"/>
  <c r="AW97"/>
  <c r="AL97"/>
  <c r="CE96"/>
  <c r="BT96"/>
  <c r="BI96"/>
  <c r="BA96"/>
  <c r="AS96"/>
  <c r="AK96"/>
  <c r="CF95"/>
  <c r="BX95"/>
  <c r="BP95"/>
  <c r="BH95"/>
  <c r="AZ95"/>
  <c r="AR95"/>
  <c r="AJ95"/>
  <c r="CE94"/>
  <c r="BW94"/>
  <c r="BO94"/>
  <c r="BG94"/>
  <c r="AY94"/>
  <c r="AQ94"/>
  <c r="AI94"/>
  <c r="CD93"/>
  <c r="BV93"/>
  <c r="BN93"/>
  <c r="BF93"/>
  <c r="AX93"/>
  <c r="AP93"/>
  <c r="CK92"/>
  <c r="CC92"/>
  <c r="BU92"/>
  <c r="BM92"/>
  <c r="BE92"/>
  <c r="AW92"/>
  <c r="AO92"/>
  <c r="CJ91"/>
  <c r="CB91"/>
  <c r="BT91"/>
  <c r="BL91"/>
  <c r="BD91"/>
  <c r="AV91"/>
  <c r="AN91"/>
  <c r="CI90"/>
  <c r="CA90"/>
  <c r="BS90"/>
  <c r="BK90"/>
  <c r="BC90"/>
  <c r="AU90"/>
  <c r="AM90"/>
  <c r="CH89"/>
  <c r="BZ89"/>
  <c r="BR89"/>
  <c r="BJ89"/>
  <c r="BB89"/>
  <c r="AT89"/>
  <c r="AL89"/>
  <c r="CG88"/>
  <c r="BY88"/>
  <c r="BQ88"/>
  <c r="BI88"/>
  <c r="BA88"/>
  <c r="AS88"/>
  <c r="AK88"/>
  <c r="CF87"/>
  <c r="BX87"/>
  <c r="BP87"/>
  <c r="BH87"/>
  <c r="AZ87"/>
  <c r="AR87"/>
  <c r="AJ87"/>
  <c r="CE86"/>
  <c r="BW86"/>
  <c r="BO86"/>
  <c r="BG86"/>
  <c r="AY86"/>
  <c r="AQ86"/>
  <c r="AI86"/>
  <c r="CD85"/>
  <c r="BV85"/>
  <c r="BN85"/>
  <c r="BF85"/>
  <c r="AX85"/>
  <c r="AP85"/>
  <c r="CK84"/>
  <c r="CC84"/>
  <c r="BU84"/>
  <c r="BM84"/>
  <c r="BE84"/>
  <c r="AW84"/>
  <c r="AO84"/>
  <c r="CJ83"/>
  <c r="CB83"/>
  <c r="BT83"/>
  <c r="BL83"/>
  <c r="BD83"/>
  <c r="AV83"/>
  <c r="AN83"/>
  <c r="CI82"/>
  <c r="CA82"/>
  <c r="BS82"/>
  <c r="BK82"/>
  <c r="BC82"/>
  <c r="AU82"/>
  <c r="AM82"/>
  <c r="CH81"/>
  <c r="BZ81"/>
  <c r="BR81"/>
  <c r="BJ81"/>
  <c r="BB81"/>
  <c r="AT81"/>
  <c r="AL81"/>
  <c r="CG80"/>
  <c r="BY80"/>
  <c r="BQ80"/>
  <c r="BI80"/>
  <c r="BA80"/>
  <c r="AS80"/>
  <c r="AK80"/>
  <c r="CF79"/>
  <c r="BX79"/>
  <c r="BP79"/>
  <c r="BH79"/>
  <c r="AZ79"/>
  <c r="AR79"/>
  <c r="AJ79"/>
  <c r="CE78"/>
  <c r="BW78"/>
  <c r="BO78"/>
  <c r="BG78"/>
  <c r="AY78"/>
  <c r="AQ78"/>
  <c r="AI78"/>
  <c r="CD77"/>
  <c r="BV77"/>
  <c r="CI122"/>
  <c r="BZ121"/>
  <c r="BQ120"/>
  <c r="BH119"/>
  <c r="AY118"/>
  <c r="AP117"/>
  <c r="CJ115"/>
  <c r="CA114"/>
  <c r="BR113"/>
  <c r="BI112"/>
  <c r="AZ111"/>
  <c r="AQ110"/>
  <c r="CK108"/>
  <c r="CB107"/>
  <c r="BS106"/>
  <c r="BJ105"/>
  <c r="BA104"/>
  <c r="AR103"/>
  <c r="AI102"/>
  <c r="CC100"/>
  <c r="BT99"/>
  <c r="BK98"/>
  <c r="BI97"/>
  <c r="BV96"/>
  <c r="AL96"/>
  <c r="BI95"/>
  <c r="CF94"/>
  <c r="AZ94"/>
  <c r="BW93"/>
  <c r="AQ93"/>
  <c r="BN92"/>
  <c r="CK91"/>
  <c r="BE91"/>
  <c r="CB90"/>
  <c r="AV90"/>
  <c r="BS89"/>
  <c r="AM89"/>
  <c r="BJ88"/>
  <c r="CG87"/>
  <c r="BA87"/>
  <c r="BX86"/>
  <c r="AR86"/>
  <c r="BO85"/>
  <c r="AI85"/>
  <c r="BF84"/>
  <c r="CC83"/>
  <c r="AW83"/>
  <c r="BT82"/>
  <c r="AN82"/>
  <c r="BK81"/>
  <c r="CH80"/>
  <c r="BM80"/>
  <c r="AW80"/>
  <c r="CJ79"/>
  <c r="BT79"/>
  <c r="BD79"/>
  <c r="AN79"/>
  <c r="CA78"/>
  <c r="BK78"/>
  <c r="AU78"/>
  <c r="CH77"/>
  <c r="BR77"/>
  <c r="BG77"/>
  <c r="AY77"/>
  <c r="AQ77"/>
  <c r="AI77"/>
  <c r="CD76"/>
  <c r="BV76"/>
  <c r="BN76"/>
  <c r="BF76"/>
  <c r="AX76"/>
  <c r="AP76"/>
  <c r="CK75"/>
  <c r="CC75"/>
  <c r="BU75"/>
  <c r="BM75"/>
  <c r="BE75"/>
  <c r="AW75"/>
  <c r="AO75"/>
  <c r="CJ74"/>
  <c r="CB74"/>
  <c r="BT74"/>
  <c r="BL74"/>
  <c r="BD74"/>
  <c r="AV74"/>
  <c r="AN74"/>
  <c r="CI73"/>
  <c r="CA73"/>
  <c r="BS73"/>
  <c r="BK73"/>
  <c r="BC73"/>
  <c r="AU73"/>
  <c r="AM73"/>
  <c r="CH72"/>
  <c r="BZ72"/>
  <c r="BR72"/>
  <c r="BJ72"/>
  <c r="BB72"/>
  <c r="AT72"/>
  <c r="AL72"/>
  <c r="CG71"/>
  <c r="BY71"/>
  <c r="BQ71"/>
  <c r="BI71"/>
  <c r="BA71"/>
  <c r="AS71"/>
  <c r="AK71"/>
  <c r="CF70"/>
  <c r="BX70"/>
  <c r="BP70"/>
  <c r="BH70"/>
  <c r="AZ70"/>
  <c r="AR70"/>
  <c r="AJ70"/>
  <c r="CE69"/>
  <c r="BW69"/>
  <c r="BO69"/>
  <c r="BG69"/>
  <c r="AY69"/>
  <c r="AQ69"/>
  <c r="AI69"/>
  <c r="CD68"/>
  <c r="BV68"/>
  <c r="BN68"/>
  <c r="BF68"/>
  <c r="AX68"/>
  <c r="AP68"/>
  <c r="CK67"/>
  <c r="CC67"/>
  <c r="BU67"/>
  <c r="BM67"/>
  <c r="BE67"/>
  <c r="AW67"/>
  <c r="AO67"/>
  <c r="CJ66"/>
  <c r="CB66"/>
  <c r="BT66"/>
  <c r="BL66"/>
  <c r="BD66"/>
  <c r="AV66"/>
  <c r="AN66"/>
  <c r="CI65"/>
  <c r="CA65"/>
  <c r="BS65"/>
  <c r="BK65"/>
  <c r="BC65"/>
  <c r="AU65"/>
  <c r="AM65"/>
  <c r="CH64"/>
  <c r="BZ64"/>
  <c r="BR64"/>
  <c r="BJ64"/>
  <c r="BB64"/>
  <c r="AT64"/>
  <c r="AL64"/>
  <c r="CG63"/>
  <c r="BY63"/>
  <c r="BQ63"/>
  <c r="BI63"/>
  <c r="BA63"/>
  <c r="AS63"/>
  <c r="AK63"/>
  <c r="CF62"/>
  <c r="BX62"/>
  <c r="BP62"/>
  <c r="BH62"/>
  <c r="AZ62"/>
  <c r="AR62"/>
  <c r="AJ62"/>
  <c r="CE61"/>
  <c r="BW61"/>
  <c r="BO61"/>
  <c r="BG61"/>
  <c r="AY61"/>
  <c r="AQ61"/>
  <c r="AI61"/>
  <c r="CD60"/>
  <c r="BV60"/>
  <c r="BN60"/>
  <c r="BF60"/>
  <c r="AX60"/>
  <c r="AP60"/>
  <c r="CK59"/>
  <c r="CC59"/>
  <c r="BU59"/>
  <c r="BM59"/>
  <c r="CK122"/>
  <c r="CB121"/>
  <c r="BS120"/>
  <c r="BJ119"/>
  <c r="BA118"/>
  <c r="AR117"/>
  <c r="AI116"/>
  <c r="CC114"/>
  <c r="BT113"/>
  <c r="BK112"/>
  <c r="BB111"/>
  <c r="AS110"/>
  <c r="AJ109"/>
  <c r="CD107"/>
  <c r="BU106"/>
  <c r="BL105"/>
  <c r="BC104"/>
  <c r="AT103"/>
  <c r="AK102"/>
  <c r="CE100"/>
  <c r="BV99"/>
  <c r="BM98"/>
  <c r="BJ97"/>
  <c r="BW96"/>
  <c r="AM96"/>
  <c r="BJ95"/>
  <c r="CG94"/>
  <c r="BA94"/>
  <c r="BX93"/>
  <c r="AR93"/>
  <c r="BO92"/>
  <c r="AI92"/>
  <c r="BF91"/>
  <c r="CC90"/>
  <c r="AW90"/>
  <c r="BT89"/>
  <c r="AN89"/>
  <c r="BK88"/>
  <c r="CH87"/>
  <c r="BB87"/>
  <c r="BY86"/>
  <c r="AS86"/>
  <c r="BP85"/>
  <c r="AJ85"/>
  <c r="BG84"/>
  <c r="CD83"/>
  <c r="AX83"/>
  <c r="BU82"/>
  <c r="AO82"/>
  <c r="BL81"/>
  <c r="CI80"/>
  <c r="BN80"/>
  <c r="AX80"/>
  <c r="CK79"/>
  <c r="BU79"/>
  <c r="BE79"/>
  <c r="AO79"/>
  <c r="CB78"/>
  <c r="BL78"/>
  <c r="AV78"/>
  <c r="CI77"/>
  <c r="BS77"/>
  <c r="BH77"/>
  <c r="AZ77"/>
  <c r="AR77"/>
  <c r="AJ77"/>
  <c r="CE76"/>
  <c r="BW76"/>
  <c r="BO76"/>
  <c r="BG76"/>
  <c r="AY76"/>
  <c r="AQ76"/>
  <c r="AI76"/>
  <c r="CD75"/>
  <c r="BV75"/>
  <c r="BN75"/>
  <c r="BF75"/>
  <c r="AX75"/>
  <c r="AP75"/>
  <c r="CK74"/>
  <c r="CC74"/>
  <c r="BU74"/>
  <c r="BM74"/>
  <c r="BE74"/>
  <c r="AW74"/>
  <c r="AO74"/>
  <c r="CJ73"/>
  <c r="CB73"/>
  <c r="BT73"/>
  <c r="BL73"/>
  <c r="BD73"/>
  <c r="AV73"/>
  <c r="AN73"/>
  <c r="CI72"/>
  <c r="CA72"/>
  <c r="BS72"/>
  <c r="BK72"/>
  <c r="BC72"/>
  <c r="AU72"/>
  <c r="AM72"/>
  <c r="CH71"/>
  <c r="BZ71"/>
  <c r="BR71"/>
  <c r="BJ71"/>
  <c r="BB71"/>
  <c r="AT71"/>
  <c r="AL71"/>
  <c r="CG70"/>
  <c r="BY70"/>
  <c r="BQ70"/>
  <c r="BI70"/>
  <c r="BA70"/>
  <c r="AS70"/>
  <c r="AK70"/>
  <c r="CF69"/>
  <c r="BX69"/>
  <c r="BP69"/>
  <c r="BH69"/>
  <c r="AZ69"/>
  <c r="AR69"/>
  <c r="AJ69"/>
  <c r="CE68"/>
  <c r="BW68"/>
  <c r="BO68"/>
  <c r="BG68"/>
  <c r="AY68"/>
  <c r="AQ68"/>
  <c r="AI68"/>
  <c r="CD67"/>
  <c r="BV67"/>
  <c r="BN67"/>
  <c r="BF67"/>
  <c r="AX67"/>
  <c r="AP67"/>
  <c r="CK66"/>
  <c r="CC66"/>
  <c r="BU66"/>
  <c r="BM66"/>
  <c r="BE66"/>
  <c r="AW66"/>
  <c r="AO66"/>
  <c r="CJ65"/>
  <c r="CB65"/>
  <c r="BT65"/>
  <c r="BL65"/>
  <c r="BD65"/>
  <c r="AV65"/>
  <c r="AN65"/>
  <c r="CI64"/>
  <c r="CA64"/>
  <c r="BS64"/>
  <c r="BK64"/>
  <c r="BC64"/>
  <c r="AU64"/>
  <c r="AM64"/>
  <c r="CH63"/>
  <c r="BZ63"/>
  <c r="BR63"/>
  <c r="BJ63"/>
  <c r="BB63"/>
  <c r="AT63"/>
  <c r="AL63"/>
  <c r="CG62"/>
  <c r="BY62"/>
  <c r="BQ62"/>
  <c r="BI62"/>
  <c r="BA62"/>
  <c r="AS62"/>
  <c r="AK62"/>
  <c r="CF61"/>
  <c r="BX61"/>
  <c r="BP61"/>
  <c r="BH61"/>
  <c r="AZ61"/>
  <c r="AR61"/>
  <c r="AV123"/>
  <c r="AM122"/>
  <c r="CG120"/>
  <c r="BX119"/>
  <c r="BO118"/>
  <c r="BF117"/>
  <c r="AW116"/>
  <c r="AN115"/>
  <c r="CH113"/>
  <c r="BY112"/>
  <c r="BP111"/>
  <c r="BG110"/>
  <c r="AX109"/>
  <c r="AO108"/>
  <c r="CI106"/>
  <c r="BZ105"/>
  <c r="BQ104"/>
  <c r="BH103"/>
  <c r="AY102"/>
  <c r="AP101"/>
  <c r="CJ99"/>
  <c r="CA98"/>
  <c r="BT97"/>
  <c r="CF96"/>
  <c r="AT96"/>
  <c r="BQ95"/>
  <c r="AK95"/>
  <c r="BH94"/>
  <c r="CE93"/>
  <c r="AY93"/>
  <c r="BV92"/>
  <c r="AP92"/>
  <c r="BM91"/>
  <c r="CJ90"/>
  <c r="BD90"/>
  <c r="CA89"/>
  <c r="AU89"/>
  <c r="BR88"/>
  <c r="AL88"/>
  <c r="BI87"/>
  <c r="CF86"/>
  <c r="AZ86"/>
  <c r="BW85"/>
  <c r="AQ85"/>
  <c r="BN84"/>
  <c r="CK83"/>
  <c r="BE83"/>
  <c r="CB82"/>
  <c r="AV82"/>
  <c r="BS81"/>
  <c r="AM81"/>
  <c r="BR80"/>
  <c r="BB80"/>
  <c r="AL80"/>
  <c r="BY79"/>
  <c r="BI79"/>
  <c r="AS79"/>
  <c r="CF78"/>
  <c r="BP78"/>
  <c r="AZ78"/>
  <c r="AJ78"/>
  <c r="BW77"/>
  <c r="BJ77"/>
  <c r="BA77"/>
  <c r="AS77"/>
  <c r="AK77"/>
  <c r="CF76"/>
  <c r="BX76"/>
  <c r="BP76"/>
  <c r="BH76"/>
  <c r="AZ76"/>
  <c r="AR76"/>
  <c r="AJ76"/>
  <c r="CE75"/>
  <c r="BW75"/>
  <c r="BO75"/>
  <c r="BG75"/>
  <c r="AY75"/>
  <c r="AQ75"/>
  <c r="AI75"/>
  <c r="CD74"/>
  <c r="BV74"/>
  <c r="BN74"/>
  <c r="BF74"/>
  <c r="AX74"/>
  <c r="AP74"/>
  <c r="CK73"/>
  <c r="CC73"/>
  <c r="BU73"/>
  <c r="BM73"/>
  <c r="BE73"/>
  <c r="AW73"/>
  <c r="AO73"/>
  <c r="CJ72"/>
  <c r="CB72"/>
  <c r="BT72"/>
  <c r="BL72"/>
  <c r="BD72"/>
  <c r="AV72"/>
  <c r="AN72"/>
  <c r="CI71"/>
  <c r="CA71"/>
  <c r="BS71"/>
  <c r="BK71"/>
  <c r="BC71"/>
  <c r="AU71"/>
  <c r="AM71"/>
  <c r="CH70"/>
  <c r="BZ70"/>
  <c r="BR70"/>
  <c r="BJ70"/>
  <c r="BB70"/>
  <c r="AT70"/>
  <c r="AL70"/>
  <c r="CG69"/>
  <c r="BY69"/>
  <c r="BQ69"/>
  <c r="BI69"/>
  <c r="BA69"/>
  <c r="AS69"/>
  <c r="AK69"/>
  <c r="CF68"/>
  <c r="BX68"/>
  <c r="BP68"/>
  <c r="BH68"/>
  <c r="AZ68"/>
  <c r="AR68"/>
  <c r="AJ68"/>
  <c r="CE67"/>
  <c r="BW67"/>
  <c r="BO67"/>
  <c r="BG67"/>
  <c r="AY67"/>
  <c r="AQ67"/>
  <c r="AI67"/>
  <c r="CD66"/>
  <c r="BV66"/>
  <c r="BN66"/>
  <c r="BF66"/>
  <c r="AX66"/>
  <c r="AP66"/>
  <c r="CK65"/>
  <c r="CC65"/>
  <c r="BU65"/>
  <c r="BM65"/>
  <c r="BE65"/>
  <c r="AW65"/>
  <c r="AO65"/>
  <c r="CJ64"/>
  <c r="CB64"/>
  <c r="BT64"/>
  <c r="BL64"/>
  <c r="BD64"/>
  <c r="AV64"/>
  <c r="AN64"/>
  <c r="CI63"/>
  <c r="CA63"/>
  <c r="BS63"/>
  <c r="BK63"/>
  <c r="BC63"/>
  <c r="AU63"/>
  <c r="AM63"/>
  <c r="CH62"/>
  <c r="BZ62"/>
  <c r="BR62"/>
  <c r="BJ62"/>
  <c r="BB62"/>
  <c r="AT62"/>
  <c r="AL62"/>
  <c r="CG61"/>
  <c r="BY61"/>
  <c r="BQ61"/>
  <c r="BI61"/>
  <c r="BA61"/>
  <c r="AS61"/>
  <c r="AK61"/>
  <c r="CF60"/>
  <c r="BX60"/>
  <c r="BP60"/>
  <c r="BH60"/>
  <c r="AZ60"/>
  <c r="AR60"/>
  <c r="AJ60"/>
  <c r="CE59"/>
  <c r="BW59"/>
  <c r="BO59"/>
  <c r="BG59"/>
  <c r="AY59"/>
  <c r="AQ59"/>
  <c r="AI59"/>
  <c r="CD58"/>
  <c r="BV58"/>
  <c r="BN58"/>
  <c r="BF58"/>
  <c r="AX58"/>
  <c r="AP58"/>
  <c r="CK57"/>
  <c r="CC57"/>
  <c r="BU57"/>
  <c r="BM57"/>
  <c r="BE57"/>
  <c r="AW57"/>
  <c r="AO57"/>
  <c r="CJ56"/>
  <c r="CB56"/>
  <c r="BT56"/>
  <c r="BL56"/>
  <c r="BD56"/>
  <c r="AV56"/>
  <c r="AN56"/>
  <c r="CI55"/>
  <c r="CA55"/>
  <c r="BS55"/>
  <c r="BK55"/>
  <c r="BC55"/>
  <c r="AU55"/>
  <c r="AM55"/>
  <c r="CH54"/>
  <c r="BZ54"/>
  <c r="BR54"/>
  <c r="BJ54"/>
  <c r="BB54"/>
  <c r="AT54"/>
  <c r="AL54"/>
  <c r="CG53"/>
  <c r="BY53"/>
  <c r="BQ53"/>
  <c r="BI53"/>
  <c r="BA53"/>
  <c r="AS53"/>
  <c r="AK53"/>
  <c r="CF52"/>
  <c r="BX52"/>
  <c r="BP52"/>
  <c r="BH52"/>
  <c r="AZ52"/>
  <c r="AR52"/>
  <c r="AJ52"/>
  <c r="CE51"/>
  <c r="BW51"/>
  <c r="BO51"/>
  <c r="BG51"/>
  <c r="AY51"/>
  <c r="AQ51"/>
  <c r="AI51"/>
  <c r="CD50"/>
  <c r="BV50"/>
  <c r="BN50"/>
  <c r="AX123"/>
  <c r="AO122"/>
  <c r="CI120"/>
  <c r="BZ119"/>
  <c r="BQ118"/>
  <c r="BH117"/>
  <c r="AY116"/>
  <c r="AP115"/>
  <c r="CJ113"/>
  <c r="CA112"/>
  <c r="BR111"/>
  <c r="BI110"/>
  <c r="AZ109"/>
  <c r="AQ108"/>
  <c r="CK106"/>
  <c r="CB105"/>
  <c r="BS104"/>
  <c r="BJ103"/>
  <c r="BA102"/>
  <c r="AR101"/>
  <c r="AI100"/>
  <c r="CC98"/>
  <c r="BU97"/>
  <c r="CG96"/>
  <c r="AU96"/>
  <c r="BR95"/>
  <c r="AL95"/>
  <c r="BI94"/>
  <c r="CF93"/>
  <c r="AZ93"/>
  <c r="BW92"/>
  <c r="AQ92"/>
  <c r="BN91"/>
  <c r="CK90"/>
  <c r="BE90"/>
  <c r="CB89"/>
  <c r="AV89"/>
  <c r="BS88"/>
  <c r="AM88"/>
  <c r="BJ87"/>
  <c r="CG86"/>
  <c r="BA86"/>
  <c r="BX85"/>
  <c r="AR85"/>
  <c r="BO84"/>
  <c r="AI84"/>
  <c r="BF83"/>
  <c r="CC82"/>
  <c r="AW82"/>
  <c r="BT81"/>
  <c r="AN81"/>
  <c r="BS80"/>
  <c r="BC80"/>
  <c r="AM80"/>
  <c r="BZ79"/>
  <c r="BJ79"/>
  <c r="AT79"/>
  <c r="CG78"/>
  <c r="BQ78"/>
  <c r="BA78"/>
  <c r="AK78"/>
  <c r="BX77"/>
  <c r="BK77"/>
  <c r="BB77"/>
  <c r="AT77"/>
  <c r="AL77"/>
  <c r="CG76"/>
  <c r="BY76"/>
  <c r="BQ76"/>
  <c r="BI76"/>
  <c r="BA76"/>
  <c r="AS76"/>
  <c r="AK76"/>
  <c r="CF75"/>
  <c r="BX75"/>
  <c r="BP75"/>
  <c r="BH75"/>
  <c r="AZ75"/>
  <c r="AR75"/>
  <c r="AJ75"/>
  <c r="CE74"/>
  <c r="BW74"/>
  <c r="BO74"/>
  <c r="BG74"/>
  <c r="AY74"/>
  <c r="AQ74"/>
  <c r="AI74"/>
  <c r="CD73"/>
  <c r="BV73"/>
  <c r="BN73"/>
  <c r="BF73"/>
  <c r="AX73"/>
  <c r="AP73"/>
  <c r="CK72"/>
  <c r="CC72"/>
  <c r="BU72"/>
  <c r="BM72"/>
  <c r="BE72"/>
  <c r="AW72"/>
  <c r="AO72"/>
  <c r="CJ71"/>
  <c r="CB71"/>
  <c r="BT71"/>
  <c r="BL71"/>
  <c r="BD71"/>
  <c r="AV71"/>
  <c r="AN71"/>
  <c r="CI70"/>
  <c r="CA70"/>
  <c r="BS70"/>
  <c r="BK70"/>
  <c r="BC70"/>
  <c r="AU70"/>
  <c r="AM70"/>
  <c r="CH69"/>
  <c r="BZ69"/>
  <c r="BR69"/>
  <c r="BJ69"/>
  <c r="BB69"/>
  <c r="AT69"/>
  <c r="AL69"/>
  <c r="CG68"/>
  <c r="BY68"/>
  <c r="BQ68"/>
  <c r="BI68"/>
  <c r="BA68"/>
  <c r="AS68"/>
  <c r="AK68"/>
  <c r="CF67"/>
  <c r="BX67"/>
  <c r="BP67"/>
  <c r="BH67"/>
  <c r="AZ67"/>
  <c r="AR67"/>
  <c r="AJ67"/>
  <c r="CE66"/>
  <c r="BW66"/>
  <c r="BO66"/>
  <c r="BG66"/>
  <c r="AY66"/>
  <c r="AQ66"/>
  <c r="AI66"/>
  <c r="CD65"/>
  <c r="BV65"/>
  <c r="BN65"/>
  <c r="BF65"/>
  <c r="AX65"/>
  <c r="AP65"/>
  <c r="CK64"/>
  <c r="CC64"/>
  <c r="BU64"/>
  <c r="BM64"/>
  <c r="BE64"/>
  <c r="AW64"/>
  <c r="AO64"/>
  <c r="CJ63"/>
  <c r="CB63"/>
  <c r="BT63"/>
  <c r="BL63"/>
  <c r="BD63"/>
  <c r="AV63"/>
  <c r="AN63"/>
  <c r="CI62"/>
  <c r="CA62"/>
  <c r="BS62"/>
  <c r="BK62"/>
  <c r="BC62"/>
  <c r="AU62"/>
  <c r="AM62"/>
  <c r="CH61"/>
  <c r="BZ61"/>
  <c r="BR61"/>
  <c r="BJ61"/>
  <c r="BB61"/>
  <c r="AT61"/>
  <c r="AL61"/>
  <c r="CG60"/>
  <c r="BY60"/>
  <c r="BQ60"/>
  <c r="BI60"/>
  <c r="BA60"/>
  <c r="AS60"/>
  <c r="AK60"/>
  <c r="CF59"/>
  <c r="BX59"/>
  <c r="BP59"/>
  <c r="BL123"/>
  <c r="BC122"/>
  <c r="AT121"/>
  <c r="AK120"/>
  <c r="CE118"/>
  <c r="BV117"/>
  <c r="BM116"/>
  <c r="BD115"/>
  <c r="AU114"/>
  <c r="AL113"/>
  <c r="CF111"/>
  <c r="BW110"/>
  <c r="BN109"/>
  <c r="BE108"/>
  <c r="AV107"/>
  <c r="AM106"/>
  <c r="CG104"/>
  <c r="BX103"/>
  <c r="BO102"/>
  <c r="BF101"/>
  <c r="AW100"/>
  <c r="AN99"/>
  <c r="CH97"/>
  <c r="AN97"/>
  <c r="BB96"/>
  <c r="BY95"/>
  <c r="AS95"/>
  <c r="BP94"/>
  <c r="AJ94"/>
  <c r="BG93"/>
  <c r="CD92"/>
  <c r="AX92"/>
  <c r="BU91"/>
  <c r="AO91"/>
  <c r="BL90"/>
  <c r="CI89"/>
  <c r="BC89"/>
  <c r="BZ88"/>
  <c r="AT88"/>
  <c r="BQ87"/>
  <c r="AK87"/>
  <c r="BH86"/>
  <c r="CE85"/>
  <c r="AY85"/>
  <c r="BV84"/>
  <c r="AP84"/>
  <c r="BM83"/>
  <c r="CJ82"/>
  <c r="BD82"/>
  <c r="CA81"/>
  <c r="AU81"/>
  <c r="BU80"/>
  <c r="BE80"/>
  <c r="AO80"/>
  <c r="CB79"/>
  <c r="BL79"/>
  <c r="AV79"/>
  <c r="CI78"/>
  <c r="BS78"/>
  <c r="BC78"/>
  <c r="AM78"/>
  <c r="BZ77"/>
  <c r="BM77"/>
  <c r="BC77"/>
  <c r="AU77"/>
  <c r="AM77"/>
  <c r="CH76"/>
  <c r="BZ76"/>
  <c r="BR76"/>
  <c r="BJ76"/>
  <c r="BB76"/>
  <c r="AT76"/>
  <c r="AL76"/>
  <c r="CG75"/>
  <c r="BY75"/>
  <c r="BQ75"/>
  <c r="BI75"/>
  <c r="BA75"/>
  <c r="AS75"/>
  <c r="AK75"/>
  <c r="CF74"/>
  <c r="BX74"/>
  <c r="BP74"/>
  <c r="BH74"/>
  <c r="AZ74"/>
  <c r="AR74"/>
  <c r="AJ74"/>
  <c r="CE73"/>
  <c r="BW73"/>
  <c r="BO73"/>
  <c r="BG73"/>
  <c r="AY73"/>
  <c r="AQ73"/>
  <c r="AI73"/>
  <c r="CD72"/>
  <c r="BV72"/>
  <c r="BN72"/>
  <c r="BF72"/>
  <c r="AX72"/>
  <c r="AP72"/>
  <c r="CK71"/>
  <c r="CC71"/>
  <c r="BU71"/>
  <c r="BM71"/>
  <c r="BE71"/>
  <c r="AW71"/>
  <c r="AO71"/>
  <c r="CJ70"/>
  <c r="CB70"/>
  <c r="BT70"/>
  <c r="BL70"/>
  <c r="BD70"/>
  <c r="AV70"/>
  <c r="AN70"/>
  <c r="CI69"/>
  <c r="CA69"/>
  <c r="BS69"/>
  <c r="BK69"/>
  <c r="BC69"/>
  <c r="AU69"/>
  <c r="AM69"/>
  <c r="CH68"/>
  <c r="BZ68"/>
  <c r="BR68"/>
  <c r="BJ68"/>
  <c r="BB68"/>
  <c r="AT68"/>
  <c r="AL68"/>
  <c r="CG67"/>
  <c r="BY67"/>
  <c r="BQ67"/>
  <c r="BI67"/>
  <c r="BA67"/>
  <c r="AS67"/>
  <c r="AK67"/>
  <c r="CF66"/>
  <c r="BX66"/>
  <c r="BP66"/>
  <c r="BH66"/>
  <c r="AZ66"/>
  <c r="AR66"/>
  <c r="AJ66"/>
  <c r="CE65"/>
  <c r="BW65"/>
  <c r="BO65"/>
  <c r="BG65"/>
  <c r="AY65"/>
  <c r="AQ65"/>
  <c r="AI65"/>
  <c r="CD64"/>
  <c r="BV64"/>
  <c r="BN64"/>
  <c r="BF64"/>
  <c r="AX64"/>
  <c r="AP64"/>
  <c r="CK63"/>
  <c r="CC63"/>
  <c r="BU63"/>
  <c r="BM63"/>
  <c r="BE63"/>
  <c r="AW63"/>
  <c r="AO63"/>
  <c r="CJ62"/>
  <c r="CB62"/>
  <c r="BT62"/>
  <c r="BL62"/>
  <c r="BD62"/>
  <c r="AV62"/>
  <c r="AN62"/>
  <c r="CI61"/>
  <c r="CA61"/>
  <c r="BS61"/>
  <c r="BK61"/>
  <c r="BC61"/>
  <c r="AU61"/>
  <c r="BN123"/>
  <c r="BE122"/>
  <c r="AV121"/>
  <c r="AM120"/>
  <c r="CG118"/>
  <c r="BX117"/>
  <c r="BO116"/>
  <c r="BF115"/>
  <c r="AW114"/>
  <c r="AN113"/>
  <c r="CH111"/>
  <c r="BY110"/>
  <c r="BP109"/>
  <c r="BG108"/>
  <c r="AX107"/>
  <c r="AO106"/>
  <c r="CI104"/>
  <c r="BZ103"/>
  <c r="BQ102"/>
  <c r="BH101"/>
  <c r="AY100"/>
  <c r="AP99"/>
  <c r="CJ97"/>
  <c r="AO97"/>
  <c r="BC96"/>
  <c r="BZ95"/>
  <c r="AT95"/>
  <c r="BQ94"/>
  <c r="AK94"/>
  <c r="BH93"/>
  <c r="CE92"/>
  <c r="AY92"/>
  <c r="BV91"/>
  <c r="AP91"/>
  <c r="BM90"/>
  <c r="CJ89"/>
  <c r="BD89"/>
  <c r="CA88"/>
  <c r="AU88"/>
  <c r="BR87"/>
  <c r="AL87"/>
  <c r="BI86"/>
  <c r="CF85"/>
  <c r="AZ85"/>
  <c r="BW84"/>
  <c r="AQ84"/>
  <c r="BN83"/>
  <c r="CK82"/>
  <c r="BE82"/>
  <c r="CB81"/>
  <c r="AV81"/>
  <c r="BV80"/>
  <c r="BF80"/>
  <c r="AP80"/>
  <c r="CC79"/>
  <c r="BM79"/>
  <c r="AW79"/>
  <c r="CJ78"/>
  <c r="BT78"/>
  <c r="BD78"/>
  <c r="AN78"/>
  <c r="CA77"/>
  <c r="BN77"/>
  <c r="BD77"/>
  <c r="AV77"/>
  <c r="AN77"/>
  <c r="CI76"/>
  <c r="CA76"/>
  <c r="BS76"/>
  <c r="BK76"/>
  <c r="BC76"/>
  <c r="AU76"/>
  <c r="AM76"/>
  <c r="CH75"/>
  <c r="BZ75"/>
  <c r="BR75"/>
  <c r="BJ75"/>
  <c r="BB75"/>
  <c r="AT75"/>
  <c r="AL75"/>
  <c r="CG74"/>
  <c r="BY74"/>
  <c r="BQ74"/>
  <c r="BI74"/>
  <c r="BA74"/>
  <c r="AS74"/>
  <c r="AK74"/>
  <c r="CF73"/>
  <c r="BX73"/>
  <c r="BP73"/>
  <c r="BH73"/>
  <c r="AZ73"/>
  <c r="AR73"/>
  <c r="AJ73"/>
  <c r="CE72"/>
  <c r="BW72"/>
  <c r="BO72"/>
  <c r="BG72"/>
  <c r="AY72"/>
  <c r="AQ72"/>
  <c r="AI72"/>
  <c r="CD71"/>
  <c r="BV71"/>
  <c r="BN71"/>
  <c r="BF71"/>
  <c r="AX71"/>
  <c r="AP71"/>
  <c r="CK70"/>
  <c r="CC70"/>
  <c r="BU70"/>
  <c r="BM70"/>
  <c r="BE70"/>
  <c r="AW70"/>
  <c r="AO70"/>
  <c r="CJ69"/>
  <c r="CB69"/>
  <c r="BT69"/>
  <c r="BL69"/>
  <c r="BD69"/>
  <c r="AV69"/>
  <c r="AN69"/>
  <c r="CI68"/>
  <c r="CA68"/>
  <c r="BS68"/>
  <c r="BK68"/>
  <c r="BC68"/>
  <c r="AU68"/>
  <c r="AM68"/>
  <c r="CH67"/>
  <c r="BZ67"/>
  <c r="BR67"/>
  <c r="BJ67"/>
  <c r="BB67"/>
  <c r="AT67"/>
  <c r="AL67"/>
  <c r="CG66"/>
  <c r="BY66"/>
  <c r="BQ66"/>
  <c r="BI66"/>
  <c r="BA66"/>
  <c r="AS66"/>
  <c r="AK66"/>
  <c r="CF65"/>
  <c r="BX65"/>
  <c r="BP65"/>
  <c r="BH65"/>
  <c r="AZ65"/>
  <c r="AR65"/>
  <c r="AJ65"/>
  <c r="CE64"/>
  <c r="BW64"/>
  <c r="BO64"/>
  <c r="BG64"/>
  <c r="AY64"/>
  <c r="AQ64"/>
  <c r="AI64"/>
  <c r="CD63"/>
  <c r="BV63"/>
  <c r="BN63"/>
  <c r="BF63"/>
  <c r="AX63"/>
  <c r="AP63"/>
  <c r="CK62"/>
  <c r="CC62"/>
  <c r="BU62"/>
  <c r="BM62"/>
  <c r="BE62"/>
  <c r="AW62"/>
  <c r="AO62"/>
  <c r="CJ61"/>
  <c r="CB61"/>
  <c r="BT61"/>
  <c r="BL61"/>
  <c r="BD61"/>
  <c r="AV61"/>
  <c r="AN61"/>
  <c r="CI60"/>
  <c r="CA60"/>
  <c r="BS60"/>
  <c r="BK60"/>
  <c r="BC60"/>
  <c r="AU60"/>
  <c r="AM60"/>
  <c r="CH59"/>
  <c r="BZ59"/>
  <c r="BR59"/>
  <c r="BJ59"/>
  <c r="BB59"/>
  <c r="AT59"/>
  <c r="AL59"/>
  <c r="CG58"/>
  <c r="BY58"/>
  <c r="BQ58"/>
  <c r="BI58"/>
  <c r="BA58"/>
  <c r="AS58"/>
  <c r="AK58"/>
  <c r="CF57"/>
  <c r="BX57"/>
  <c r="BP57"/>
  <c r="BH57"/>
  <c r="AZ57"/>
  <c r="AR57"/>
  <c r="AJ57"/>
  <c r="CE56"/>
  <c r="BW56"/>
  <c r="BO56"/>
  <c r="BG56"/>
  <c r="AY56"/>
  <c r="AQ56"/>
  <c r="AI56"/>
  <c r="CD55"/>
  <c r="BV55"/>
  <c r="BN55"/>
  <c r="BF55"/>
  <c r="AX55"/>
  <c r="AP55"/>
  <c r="CK54"/>
  <c r="CC54"/>
  <c r="BU54"/>
  <c r="BM54"/>
  <c r="BE54"/>
  <c r="AW54"/>
  <c r="AO54"/>
  <c r="CJ53"/>
  <c r="CB53"/>
  <c r="BT53"/>
  <c r="BL53"/>
  <c r="BD53"/>
  <c r="AV53"/>
  <c r="BL121"/>
  <c r="CE116"/>
  <c r="AU112"/>
  <c r="BN107"/>
  <c r="CG102"/>
  <c r="AW98"/>
  <c r="BB95"/>
  <c r="AJ93"/>
  <c r="BU90"/>
  <c r="BC88"/>
  <c r="AK86"/>
  <c r="BV83"/>
  <c r="BD81"/>
  <c r="CH79"/>
  <c r="BY78"/>
  <c r="BP77"/>
  <c r="CK76"/>
  <c r="BE76"/>
  <c r="CB75"/>
  <c r="AV75"/>
  <c r="BS74"/>
  <c r="AM74"/>
  <c r="BJ73"/>
  <c r="CG72"/>
  <c r="BA72"/>
  <c r="BX71"/>
  <c r="AR71"/>
  <c r="BO70"/>
  <c r="AI70"/>
  <c r="BF69"/>
  <c r="CC68"/>
  <c r="AW68"/>
  <c r="BT67"/>
  <c r="AN67"/>
  <c r="BK66"/>
  <c r="CH65"/>
  <c r="BB65"/>
  <c r="BY64"/>
  <c r="AS64"/>
  <c r="BP63"/>
  <c r="AJ63"/>
  <c r="BG62"/>
  <c r="CD61"/>
  <c r="AX61"/>
  <c r="CH60"/>
  <c r="BR60"/>
  <c r="BB60"/>
  <c r="AL60"/>
  <c r="BY59"/>
  <c r="BI59"/>
  <c r="AX59"/>
  <c r="AN59"/>
  <c r="CF58"/>
  <c r="BU58"/>
  <c r="BK58"/>
  <c r="AZ58"/>
  <c r="AO58"/>
  <c r="CH57"/>
  <c r="BW57"/>
  <c r="BL57"/>
  <c r="BB57"/>
  <c r="AQ57"/>
  <c r="CI56"/>
  <c r="BY56"/>
  <c r="BN56"/>
  <c r="BC56"/>
  <c r="AS56"/>
  <c r="CK55"/>
  <c r="BZ55"/>
  <c r="BP55"/>
  <c r="BE55"/>
  <c r="AT55"/>
  <c r="AJ55"/>
  <c r="CB54"/>
  <c r="BQ54"/>
  <c r="BG54"/>
  <c r="AV54"/>
  <c r="AK54"/>
  <c r="CD53"/>
  <c r="BS53"/>
  <c r="BH53"/>
  <c r="AX53"/>
  <c r="AN53"/>
  <c r="CH52"/>
  <c r="BY52"/>
  <c r="BO52"/>
  <c r="BF52"/>
  <c r="AW52"/>
  <c r="AN52"/>
  <c r="CH51"/>
  <c r="BY51"/>
  <c r="BP51"/>
  <c r="BF51"/>
  <c r="AW51"/>
  <c r="AN51"/>
  <c r="CH50"/>
  <c r="BY50"/>
  <c r="BP50"/>
  <c r="BG50"/>
  <c r="AY50"/>
  <c r="AQ50"/>
  <c r="AI50"/>
  <c r="CD49"/>
  <c r="BV49"/>
  <c r="BN49"/>
  <c r="BF49"/>
  <c r="AX49"/>
  <c r="AP49"/>
  <c r="CK48"/>
  <c r="CC48"/>
  <c r="BU48"/>
  <c r="BM48"/>
  <c r="BE48"/>
  <c r="AW48"/>
  <c r="AO48"/>
  <c r="CJ47"/>
  <c r="CB47"/>
  <c r="BT47"/>
  <c r="BL47"/>
  <c r="BD47"/>
  <c r="AV47"/>
  <c r="AN47"/>
  <c r="CI46"/>
  <c r="CA46"/>
  <c r="BS46"/>
  <c r="BK46"/>
  <c r="BC46"/>
  <c r="AU46"/>
  <c r="AM46"/>
  <c r="CH45"/>
  <c r="BZ45"/>
  <c r="BR45"/>
  <c r="BJ45"/>
  <c r="BB45"/>
  <c r="AT45"/>
  <c r="AL45"/>
  <c r="CG44"/>
  <c r="BY44"/>
  <c r="BQ44"/>
  <c r="BI44"/>
  <c r="BA44"/>
  <c r="AS44"/>
  <c r="AK44"/>
  <c r="CF43"/>
  <c r="BX43"/>
  <c r="BP43"/>
  <c r="BH43"/>
  <c r="AZ43"/>
  <c r="AR43"/>
  <c r="AJ43"/>
  <c r="CE42"/>
  <c r="BW42"/>
  <c r="BO42"/>
  <c r="BG42"/>
  <c r="AY42"/>
  <c r="AQ42"/>
  <c r="AI42"/>
  <c r="CD41"/>
  <c r="BV41"/>
  <c r="BN41"/>
  <c r="BF41"/>
  <c r="AX41"/>
  <c r="AP41"/>
  <c r="CK40"/>
  <c r="CC40"/>
  <c r="BU40"/>
  <c r="BM40"/>
  <c r="BE40"/>
  <c r="AW40"/>
  <c r="AO40"/>
  <c r="CJ39"/>
  <c r="CB39"/>
  <c r="BT39"/>
  <c r="BL39"/>
  <c r="BD39"/>
  <c r="AV39"/>
  <c r="AN39"/>
  <c r="CI38"/>
  <c r="CA38"/>
  <c r="BS38"/>
  <c r="BK38"/>
  <c r="BC38"/>
  <c r="AU38"/>
  <c r="AM38"/>
  <c r="CH37"/>
  <c r="BZ37"/>
  <c r="BR37"/>
  <c r="BJ37"/>
  <c r="BB37"/>
  <c r="AT37"/>
  <c r="AL37"/>
  <c r="CG36"/>
  <c r="BY36"/>
  <c r="BQ36"/>
  <c r="BI36"/>
  <c r="BA36"/>
  <c r="AS36"/>
  <c r="AK36"/>
  <c r="CF35"/>
  <c r="BX35"/>
  <c r="BP35"/>
  <c r="BH35"/>
  <c r="AZ35"/>
  <c r="AR35"/>
  <c r="AJ35"/>
  <c r="CE34"/>
  <c r="BW34"/>
  <c r="BO34"/>
  <c r="BG34"/>
  <c r="AY34"/>
  <c r="AQ34"/>
  <c r="AI34"/>
  <c r="CD33"/>
  <c r="BV33"/>
  <c r="BN33"/>
  <c r="BF33"/>
  <c r="AX33"/>
  <c r="AP33"/>
  <c r="CK32"/>
  <c r="CC32"/>
  <c r="BU32"/>
  <c r="BM32"/>
  <c r="BE32"/>
  <c r="AW32"/>
  <c r="AO32"/>
  <c r="CJ31"/>
  <c r="CB31"/>
  <c r="BT31"/>
  <c r="BL31"/>
  <c r="BD31"/>
  <c r="AV31"/>
  <c r="AN31"/>
  <c r="CI30"/>
  <c r="CA30"/>
  <c r="BS30"/>
  <c r="BK30"/>
  <c r="BC30"/>
  <c r="AU30"/>
  <c r="AM30"/>
  <c r="CH29"/>
  <c r="BZ29"/>
  <c r="BR29"/>
  <c r="BJ29"/>
  <c r="BB29"/>
  <c r="AT29"/>
  <c r="AL29"/>
  <c r="CG28"/>
  <c r="BY28"/>
  <c r="BQ28"/>
  <c r="BI28"/>
  <c r="BA28"/>
  <c r="AS28"/>
  <c r="AK28"/>
  <c r="CF27"/>
  <c r="BX27"/>
  <c r="BP27"/>
  <c r="BH27"/>
  <c r="AZ27"/>
  <c r="AR27"/>
  <c r="AJ27"/>
  <c r="CE26"/>
  <c r="BW26"/>
  <c r="BS122"/>
  <c r="AI118"/>
  <c r="BB113"/>
  <c r="BU108"/>
  <c r="AK104"/>
  <c r="BD99"/>
  <c r="CG95"/>
  <c r="BO93"/>
  <c r="AW91"/>
  <c r="CH88"/>
  <c r="BP86"/>
  <c r="AX84"/>
  <c r="CI81"/>
  <c r="AT80"/>
  <c r="AK79"/>
  <c r="CE77"/>
  <c r="AO77"/>
  <c r="BL76"/>
  <c r="CI75"/>
  <c r="BC75"/>
  <c r="BZ74"/>
  <c r="AT74"/>
  <c r="BQ73"/>
  <c r="AK73"/>
  <c r="BH72"/>
  <c r="CE71"/>
  <c r="AY71"/>
  <c r="BV70"/>
  <c r="AP70"/>
  <c r="BM69"/>
  <c r="CJ68"/>
  <c r="BD68"/>
  <c r="CA67"/>
  <c r="AU67"/>
  <c r="BR66"/>
  <c r="AL66"/>
  <c r="BI65"/>
  <c r="CF64"/>
  <c r="AZ64"/>
  <c r="BW63"/>
  <c r="AQ63"/>
  <c r="BN62"/>
  <c r="CK61"/>
  <c r="BE61"/>
  <c r="CJ60"/>
  <c r="BT60"/>
  <c r="BD60"/>
  <c r="AN60"/>
  <c r="CA59"/>
  <c r="BK59"/>
  <c r="AZ59"/>
  <c r="AO59"/>
  <c r="CH58"/>
  <c r="BW58"/>
  <c r="BL58"/>
  <c r="BB58"/>
  <c r="AQ58"/>
  <c r="CI57"/>
  <c r="BY57"/>
  <c r="BN57"/>
  <c r="BC57"/>
  <c r="AS57"/>
  <c r="CK56"/>
  <c r="BZ56"/>
  <c r="BP56"/>
  <c r="BE56"/>
  <c r="AT56"/>
  <c r="AJ56"/>
  <c r="CB55"/>
  <c r="BQ55"/>
  <c r="BG55"/>
  <c r="AV55"/>
  <c r="AK55"/>
  <c r="CD54"/>
  <c r="BS54"/>
  <c r="BH54"/>
  <c r="AX54"/>
  <c r="AM54"/>
  <c r="CE53"/>
  <c r="BU53"/>
  <c r="BJ53"/>
  <c r="AY53"/>
  <c r="AO53"/>
  <c r="CI52"/>
  <c r="BZ52"/>
  <c r="BQ52"/>
  <c r="BG52"/>
  <c r="AX52"/>
  <c r="AO52"/>
  <c r="CI51"/>
  <c r="BZ51"/>
  <c r="BQ51"/>
  <c r="BH51"/>
  <c r="AX51"/>
  <c r="AO51"/>
  <c r="CI50"/>
  <c r="BZ50"/>
  <c r="BQ50"/>
  <c r="BH50"/>
  <c r="AZ50"/>
  <c r="AR50"/>
  <c r="AJ50"/>
  <c r="CE49"/>
  <c r="BW49"/>
  <c r="BO49"/>
  <c r="BG49"/>
  <c r="AY49"/>
  <c r="AQ49"/>
  <c r="AI49"/>
  <c r="CD48"/>
  <c r="BV48"/>
  <c r="BN48"/>
  <c r="BF48"/>
  <c r="AX48"/>
  <c r="AP48"/>
  <c r="CK47"/>
  <c r="CC47"/>
  <c r="BU47"/>
  <c r="BM47"/>
  <c r="BE47"/>
  <c r="AW47"/>
  <c r="AO47"/>
  <c r="CJ46"/>
  <c r="CB46"/>
  <c r="BT46"/>
  <c r="BL46"/>
  <c r="BD46"/>
  <c r="AV46"/>
  <c r="AN46"/>
  <c r="CI45"/>
  <c r="CA45"/>
  <c r="BS45"/>
  <c r="BK45"/>
  <c r="BC45"/>
  <c r="AU45"/>
  <c r="AM45"/>
  <c r="CH44"/>
  <c r="BZ44"/>
  <c r="BR44"/>
  <c r="BJ44"/>
  <c r="BB44"/>
  <c r="AT44"/>
  <c r="AL44"/>
  <c r="CG43"/>
  <c r="BY43"/>
  <c r="BQ43"/>
  <c r="BI43"/>
  <c r="BA43"/>
  <c r="AS43"/>
  <c r="AK43"/>
  <c r="CF42"/>
  <c r="BX42"/>
  <c r="BP42"/>
  <c r="BH42"/>
  <c r="AZ42"/>
  <c r="AR42"/>
  <c r="AJ42"/>
  <c r="CE41"/>
  <c r="BW41"/>
  <c r="BO41"/>
  <c r="BG41"/>
  <c r="AY41"/>
  <c r="AQ41"/>
  <c r="AI41"/>
  <c r="CD40"/>
  <c r="BV40"/>
  <c r="BN40"/>
  <c r="BF40"/>
  <c r="AX40"/>
  <c r="AP40"/>
  <c r="CK39"/>
  <c r="CC39"/>
  <c r="BU39"/>
  <c r="BM39"/>
  <c r="BE39"/>
  <c r="AW39"/>
  <c r="AO39"/>
  <c r="CJ38"/>
  <c r="CB38"/>
  <c r="BT38"/>
  <c r="BL38"/>
  <c r="BD38"/>
  <c r="AV38"/>
  <c r="AN38"/>
  <c r="CI37"/>
  <c r="CA37"/>
  <c r="BS37"/>
  <c r="BK37"/>
  <c r="BC37"/>
  <c r="AU37"/>
  <c r="AM37"/>
  <c r="CH36"/>
  <c r="BZ36"/>
  <c r="BR36"/>
  <c r="BJ36"/>
  <c r="BB36"/>
  <c r="AT36"/>
  <c r="AL36"/>
  <c r="CG35"/>
  <c r="BY35"/>
  <c r="BQ35"/>
  <c r="BI35"/>
  <c r="BA35"/>
  <c r="AS35"/>
  <c r="AK35"/>
  <c r="CF34"/>
  <c r="BX34"/>
  <c r="BP34"/>
  <c r="BH34"/>
  <c r="AZ34"/>
  <c r="AR34"/>
  <c r="AJ34"/>
  <c r="CE33"/>
  <c r="BW33"/>
  <c r="BO33"/>
  <c r="BG33"/>
  <c r="AY33"/>
  <c r="AQ33"/>
  <c r="AI33"/>
  <c r="CD32"/>
  <c r="BV32"/>
  <c r="BN32"/>
  <c r="BF32"/>
  <c r="AX32"/>
  <c r="AP32"/>
  <c r="CK31"/>
  <c r="CC31"/>
  <c r="BU31"/>
  <c r="BM31"/>
  <c r="BE31"/>
  <c r="AW31"/>
  <c r="AO31"/>
  <c r="CJ30"/>
  <c r="CB30"/>
  <c r="BT30"/>
  <c r="BL30"/>
  <c r="BD30"/>
  <c r="AV30"/>
  <c r="AN30"/>
  <c r="CI29"/>
  <c r="CA29"/>
  <c r="BS29"/>
  <c r="BK29"/>
  <c r="BC29"/>
  <c r="AU29"/>
  <c r="AM29"/>
  <c r="CH28"/>
  <c r="BZ28"/>
  <c r="BR28"/>
  <c r="BJ28"/>
  <c r="BB28"/>
  <c r="AT28"/>
  <c r="AL28"/>
  <c r="CG27"/>
  <c r="BU122"/>
  <c r="AK118"/>
  <c r="BD113"/>
  <c r="BW108"/>
  <c r="AM104"/>
  <c r="BF99"/>
  <c r="CH95"/>
  <c r="BP93"/>
  <c r="AX91"/>
  <c r="CI88"/>
  <c r="BQ86"/>
  <c r="AY84"/>
  <c r="CJ81"/>
  <c r="AU80"/>
  <c r="AL79"/>
  <c r="CF77"/>
  <c r="AP77"/>
  <c r="BM76"/>
  <c r="CJ75"/>
  <c r="BD75"/>
  <c r="CA74"/>
  <c r="AU74"/>
  <c r="BR73"/>
  <c r="AL73"/>
  <c r="BI72"/>
  <c r="CF71"/>
  <c r="AZ71"/>
  <c r="BW70"/>
  <c r="AQ70"/>
  <c r="BN69"/>
  <c r="CK68"/>
  <c r="BE68"/>
  <c r="CB67"/>
  <c r="AV67"/>
  <c r="BS66"/>
  <c r="AM66"/>
  <c r="BJ65"/>
  <c r="CG64"/>
  <c r="BA64"/>
  <c r="BX63"/>
  <c r="AR63"/>
  <c r="BO62"/>
  <c r="AI62"/>
  <c r="BF61"/>
  <c r="CK60"/>
  <c r="BU60"/>
  <c r="BE60"/>
  <c r="AO60"/>
  <c r="CB59"/>
  <c r="BL59"/>
  <c r="BA59"/>
  <c r="AP59"/>
  <c r="CI58"/>
  <c r="BX58"/>
  <c r="BM58"/>
  <c r="BC58"/>
  <c r="AR58"/>
  <c r="CJ57"/>
  <c r="BZ57"/>
  <c r="BO57"/>
  <c r="BD57"/>
  <c r="AT57"/>
  <c r="AI57"/>
  <c r="CA56"/>
  <c r="BQ56"/>
  <c r="BF56"/>
  <c r="AU56"/>
  <c r="AK56"/>
  <c r="CC55"/>
  <c r="BR55"/>
  <c r="BH55"/>
  <c r="AW55"/>
  <c r="AL55"/>
  <c r="CE54"/>
  <c r="BT54"/>
  <c r="BI54"/>
  <c r="AY54"/>
  <c r="AN54"/>
  <c r="CF53"/>
  <c r="BV53"/>
  <c r="BK53"/>
  <c r="AZ53"/>
  <c r="AP53"/>
  <c r="CJ52"/>
  <c r="CA52"/>
  <c r="BR52"/>
  <c r="BI52"/>
  <c r="AY52"/>
  <c r="AP52"/>
  <c r="CJ51"/>
  <c r="CA51"/>
  <c r="BR51"/>
  <c r="BI51"/>
  <c r="AZ51"/>
  <c r="AP51"/>
  <c r="CJ50"/>
  <c r="CA50"/>
  <c r="BR50"/>
  <c r="BI50"/>
  <c r="BA50"/>
  <c r="AS50"/>
  <c r="AK50"/>
  <c r="CF49"/>
  <c r="BX49"/>
  <c r="BP49"/>
  <c r="BH49"/>
  <c r="AZ49"/>
  <c r="AR49"/>
  <c r="AJ49"/>
  <c r="CE48"/>
  <c r="BW48"/>
  <c r="BO48"/>
  <c r="BG48"/>
  <c r="AY48"/>
  <c r="AQ48"/>
  <c r="AI48"/>
  <c r="CD47"/>
  <c r="BV47"/>
  <c r="BN47"/>
  <c r="BF47"/>
  <c r="AX47"/>
  <c r="AP47"/>
  <c r="CK46"/>
  <c r="CC46"/>
  <c r="BU46"/>
  <c r="BM46"/>
  <c r="BE46"/>
  <c r="AW46"/>
  <c r="AO46"/>
  <c r="CJ45"/>
  <c r="CB45"/>
  <c r="BT45"/>
  <c r="BL45"/>
  <c r="BD45"/>
  <c r="AV45"/>
  <c r="AN45"/>
  <c r="CI44"/>
  <c r="CA44"/>
  <c r="BS44"/>
  <c r="BK44"/>
  <c r="BC44"/>
  <c r="AU44"/>
  <c r="AM44"/>
  <c r="CH43"/>
  <c r="BZ43"/>
  <c r="BR43"/>
  <c r="BJ43"/>
  <c r="BB43"/>
  <c r="AT43"/>
  <c r="AL43"/>
  <c r="CG42"/>
  <c r="BY42"/>
  <c r="BQ42"/>
  <c r="BI42"/>
  <c r="BA42"/>
  <c r="AS42"/>
  <c r="AK42"/>
  <c r="CF41"/>
  <c r="BX41"/>
  <c r="BP41"/>
  <c r="BH41"/>
  <c r="AZ41"/>
  <c r="AR41"/>
  <c r="AJ41"/>
  <c r="CE40"/>
  <c r="BW40"/>
  <c r="BO40"/>
  <c r="BG40"/>
  <c r="AY40"/>
  <c r="AQ40"/>
  <c r="AI40"/>
  <c r="CD39"/>
  <c r="BV39"/>
  <c r="BN39"/>
  <c r="BF39"/>
  <c r="AX39"/>
  <c r="AP39"/>
  <c r="CK38"/>
  <c r="CC38"/>
  <c r="BU38"/>
  <c r="BM38"/>
  <c r="BE38"/>
  <c r="AW38"/>
  <c r="AO38"/>
  <c r="CJ37"/>
  <c r="CB37"/>
  <c r="BT37"/>
  <c r="BL37"/>
  <c r="BD37"/>
  <c r="AV37"/>
  <c r="AN37"/>
  <c r="CI36"/>
  <c r="CA36"/>
  <c r="BS36"/>
  <c r="BK36"/>
  <c r="BC36"/>
  <c r="AU36"/>
  <c r="AM36"/>
  <c r="CH35"/>
  <c r="BZ35"/>
  <c r="BR35"/>
  <c r="BJ35"/>
  <c r="BB35"/>
  <c r="AT35"/>
  <c r="AL35"/>
  <c r="CG34"/>
  <c r="BY34"/>
  <c r="BQ34"/>
  <c r="BI34"/>
  <c r="BA34"/>
  <c r="AS34"/>
  <c r="AK34"/>
  <c r="CF33"/>
  <c r="BX33"/>
  <c r="BP33"/>
  <c r="BH33"/>
  <c r="AZ33"/>
  <c r="AR33"/>
  <c r="AJ33"/>
  <c r="CE32"/>
  <c r="BW32"/>
  <c r="BO32"/>
  <c r="BG32"/>
  <c r="AY32"/>
  <c r="AQ32"/>
  <c r="AI32"/>
  <c r="CD31"/>
  <c r="BV31"/>
  <c r="BN31"/>
  <c r="BF31"/>
  <c r="AX31"/>
  <c r="AP31"/>
  <c r="CK30"/>
  <c r="CC30"/>
  <c r="BU30"/>
  <c r="BM30"/>
  <c r="BE30"/>
  <c r="AW30"/>
  <c r="AO30"/>
  <c r="CJ29"/>
  <c r="CB29"/>
  <c r="BT29"/>
  <c r="BL29"/>
  <c r="BD29"/>
  <c r="AV29"/>
  <c r="AN29"/>
  <c r="CI28"/>
  <c r="CA28"/>
  <c r="BS28"/>
  <c r="BK28"/>
  <c r="BC28"/>
  <c r="AU28"/>
  <c r="AM28"/>
  <c r="CH27"/>
  <c r="BZ27"/>
  <c r="CB123"/>
  <c r="AR119"/>
  <c r="BK114"/>
  <c r="CD109"/>
  <c r="AT105"/>
  <c r="BM100"/>
  <c r="BK96"/>
  <c r="AR94"/>
  <c r="CC91"/>
  <c r="BK89"/>
  <c r="AS87"/>
  <c r="CD84"/>
  <c r="BL82"/>
  <c r="BJ80"/>
  <c r="BA79"/>
  <c r="AR78"/>
  <c r="AW77"/>
  <c r="BT76"/>
  <c r="AN76"/>
  <c r="BK75"/>
  <c r="CH74"/>
  <c r="BB74"/>
  <c r="BY73"/>
  <c r="AS73"/>
  <c r="BP72"/>
  <c r="AJ72"/>
  <c r="BG71"/>
  <c r="CD70"/>
  <c r="AX70"/>
  <c r="BU69"/>
  <c r="AO69"/>
  <c r="BL68"/>
  <c r="CI67"/>
  <c r="BC67"/>
  <c r="BZ66"/>
  <c r="AT66"/>
  <c r="BQ65"/>
  <c r="AK65"/>
  <c r="BH64"/>
  <c r="CE63"/>
  <c r="AY63"/>
  <c r="BV62"/>
  <c r="AP62"/>
  <c r="BM61"/>
  <c r="AJ61"/>
  <c r="BW60"/>
  <c r="BG60"/>
  <c r="AQ60"/>
  <c r="CD59"/>
  <c r="BN59"/>
  <c r="BC59"/>
  <c r="AR59"/>
  <c r="CJ58"/>
  <c r="BZ58"/>
  <c r="BO58"/>
  <c r="BD58"/>
  <c r="AT58"/>
  <c r="AI58"/>
  <c r="CA57"/>
  <c r="BQ57"/>
  <c r="BF57"/>
  <c r="AU57"/>
  <c r="AK57"/>
  <c r="CC56"/>
  <c r="BR56"/>
  <c r="BH56"/>
  <c r="AW56"/>
  <c r="AL56"/>
  <c r="CE55"/>
  <c r="BT55"/>
  <c r="BI55"/>
  <c r="AY55"/>
  <c r="AN55"/>
  <c r="CF54"/>
  <c r="BV54"/>
  <c r="BK54"/>
  <c r="AZ54"/>
  <c r="AP54"/>
  <c r="CH53"/>
  <c r="BW53"/>
  <c r="BM53"/>
  <c r="BB53"/>
  <c r="AQ53"/>
  <c r="CK52"/>
  <c r="CB52"/>
  <c r="BS52"/>
  <c r="BJ52"/>
  <c r="BA52"/>
  <c r="AQ52"/>
  <c r="CK51"/>
  <c r="CB51"/>
  <c r="BS51"/>
  <c r="BJ51"/>
  <c r="BA51"/>
  <c r="AR51"/>
  <c r="CK50"/>
  <c r="CB50"/>
  <c r="BS50"/>
  <c r="BJ50"/>
  <c r="BB50"/>
  <c r="AT50"/>
  <c r="AL50"/>
  <c r="CG49"/>
  <c r="BY49"/>
  <c r="BQ49"/>
  <c r="BI49"/>
  <c r="BA49"/>
  <c r="AS49"/>
  <c r="AK49"/>
  <c r="CF48"/>
  <c r="BX48"/>
  <c r="BP48"/>
  <c r="BH48"/>
  <c r="AZ48"/>
  <c r="AR48"/>
  <c r="AJ48"/>
  <c r="CE47"/>
  <c r="BW47"/>
  <c r="BO47"/>
  <c r="BG47"/>
  <c r="AY47"/>
  <c r="AQ47"/>
  <c r="AI47"/>
  <c r="CD46"/>
  <c r="BV46"/>
  <c r="BN46"/>
  <c r="BF46"/>
  <c r="AX46"/>
  <c r="AP46"/>
  <c r="CK45"/>
  <c r="CC45"/>
  <c r="BU45"/>
  <c r="BM45"/>
  <c r="BE45"/>
  <c r="AW45"/>
  <c r="AO45"/>
  <c r="CJ44"/>
  <c r="CB44"/>
  <c r="BT44"/>
  <c r="BL44"/>
  <c r="BD44"/>
  <c r="AV44"/>
  <c r="AN44"/>
  <c r="CI43"/>
  <c r="CA43"/>
  <c r="BS43"/>
  <c r="BK43"/>
  <c r="BC43"/>
  <c r="AU43"/>
  <c r="AM43"/>
  <c r="CH42"/>
  <c r="BZ42"/>
  <c r="BR42"/>
  <c r="BJ42"/>
  <c r="BB42"/>
  <c r="AT42"/>
  <c r="AL42"/>
  <c r="CG41"/>
  <c r="BY41"/>
  <c r="BQ41"/>
  <c r="BI41"/>
  <c r="BA41"/>
  <c r="AS41"/>
  <c r="AK41"/>
  <c r="CF40"/>
  <c r="BX40"/>
  <c r="BP40"/>
  <c r="BH40"/>
  <c r="AZ40"/>
  <c r="AR40"/>
  <c r="AJ40"/>
  <c r="CE39"/>
  <c r="BW39"/>
  <c r="BO39"/>
  <c r="BG39"/>
  <c r="AY39"/>
  <c r="AQ39"/>
  <c r="AI39"/>
  <c r="CD38"/>
  <c r="BV38"/>
  <c r="BN38"/>
  <c r="BF38"/>
  <c r="AX38"/>
  <c r="AP38"/>
  <c r="CK37"/>
  <c r="CC37"/>
  <c r="BU37"/>
  <c r="BM37"/>
  <c r="BE37"/>
  <c r="AW37"/>
  <c r="AO37"/>
  <c r="CJ36"/>
  <c r="CB36"/>
  <c r="BT36"/>
  <c r="BL36"/>
  <c r="BD36"/>
  <c r="AV36"/>
  <c r="AN36"/>
  <c r="CI35"/>
  <c r="CA35"/>
  <c r="BS35"/>
  <c r="BK35"/>
  <c r="BC35"/>
  <c r="AU35"/>
  <c r="AM35"/>
  <c r="CH34"/>
  <c r="BZ34"/>
  <c r="BR34"/>
  <c r="BJ34"/>
  <c r="BB34"/>
  <c r="AT34"/>
  <c r="AL34"/>
  <c r="CG33"/>
  <c r="BY33"/>
  <c r="BQ33"/>
  <c r="BI33"/>
  <c r="BA33"/>
  <c r="AS33"/>
  <c r="AK33"/>
  <c r="CF32"/>
  <c r="BX32"/>
  <c r="BP32"/>
  <c r="BH32"/>
  <c r="AZ32"/>
  <c r="AR32"/>
  <c r="AJ32"/>
  <c r="CE31"/>
  <c r="BW31"/>
  <c r="BO31"/>
  <c r="BG31"/>
  <c r="AY31"/>
  <c r="AQ31"/>
  <c r="AI31"/>
  <c r="CD30"/>
  <c r="BV30"/>
  <c r="BN30"/>
  <c r="BF30"/>
  <c r="AX30"/>
  <c r="AP30"/>
  <c r="CK29"/>
  <c r="CC29"/>
  <c r="BU29"/>
  <c r="BM29"/>
  <c r="BE29"/>
  <c r="AW29"/>
  <c r="AO29"/>
  <c r="CJ28"/>
  <c r="CB28"/>
  <c r="BT28"/>
  <c r="BL28"/>
  <c r="BD28"/>
  <c r="AV28"/>
  <c r="AN28"/>
  <c r="CI27"/>
  <c r="CA27"/>
  <c r="BS27"/>
  <c r="BK27"/>
  <c r="BC27"/>
  <c r="AU27"/>
  <c r="AM27"/>
  <c r="CH26"/>
  <c r="BZ26"/>
  <c r="CD123"/>
  <c r="AT119"/>
  <c r="BM114"/>
  <c r="CF109"/>
  <c r="AV105"/>
  <c r="BO100"/>
  <c r="BL96"/>
  <c r="AS94"/>
  <c r="CD91"/>
  <c r="BL89"/>
  <c r="AT87"/>
  <c r="CE84"/>
  <c r="BM82"/>
  <c r="BK80"/>
  <c r="BB79"/>
  <c r="AS78"/>
  <c r="AX77"/>
  <c r="BU76"/>
  <c r="AO76"/>
  <c r="BL75"/>
  <c r="CI74"/>
  <c r="BC74"/>
  <c r="BZ73"/>
  <c r="AT73"/>
  <c r="BQ72"/>
  <c r="AK72"/>
  <c r="BH71"/>
  <c r="CE70"/>
  <c r="AY70"/>
  <c r="BV69"/>
  <c r="AP69"/>
  <c r="BM68"/>
  <c r="CJ67"/>
  <c r="BD67"/>
  <c r="CA66"/>
  <c r="AU66"/>
  <c r="BR65"/>
  <c r="AL65"/>
  <c r="BI64"/>
  <c r="CF63"/>
  <c r="AZ63"/>
  <c r="BW62"/>
  <c r="AQ62"/>
  <c r="BN61"/>
  <c r="AM61"/>
  <c r="BZ60"/>
  <c r="BJ60"/>
  <c r="AT60"/>
  <c r="CG59"/>
  <c r="BQ59"/>
  <c r="BD59"/>
  <c r="AS59"/>
  <c r="CK58"/>
  <c r="CA58"/>
  <c r="BP58"/>
  <c r="BE58"/>
  <c r="AU58"/>
  <c r="AJ58"/>
  <c r="CB57"/>
  <c r="BR57"/>
  <c r="BG57"/>
  <c r="AV57"/>
  <c r="AL57"/>
  <c r="CD56"/>
  <c r="BS56"/>
  <c r="BI56"/>
  <c r="AX56"/>
  <c r="AM56"/>
  <c r="CF55"/>
  <c r="BU55"/>
  <c r="BJ55"/>
  <c r="AZ55"/>
  <c r="AO55"/>
  <c r="CG54"/>
  <c r="BW54"/>
  <c r="BL54"/>
  <c r="BA54"/>
  <c r="AQ54"/>
  <c r="CI53"/>
  <c r="BX53"/>
  <c r="BN53"/>
  <c r="BC53"/>
  <c r="AR53"/>
  <c r="AI53"/>
  <c r="CC52"/>
  <c r="BT52"/>
  <c r="BK52"/>
  <c r="BB52"/>
  <c r="AS52"/>
  <c r="AI52"/>
  <c r="CC51"/>
  <c r="BT51"/>
  <c r="BK51"/>
  <c r="BB51"/>
  <c r="AS51"/>
  <c r="AJ51"/>
  <c r="CC50"/>
  <c r="BT50"/>
  <c r="BK50"/>
  <c r="BC50"/>
  <c r="AU50"/>
  <c r="AM50"/>
  <c r="CH49"/>
  <c r="BZ49"/>
  <c r="BR49"/>
  <c r="BJ49"/>
  <c r="BB49"/>
  <c r="AT49"/>
  <c r="AL49"/>
  <c r="CG48"/>
  <c r="BY48"/>
  <c r="BQ48"/>
  <c r="BI48"/>
  <c r="BA48"/>
  <c r="AS48"/>
  <c r="AK48"/>
  <c r="CF47"/>
  <c r="BX47"/>
  <c r="BP47"/>
  <c r="BH47"/>
  <c r="AZ47"/>
  <c r="AR47"/>
  <c r="AJ47"/>
  <c r="CE46"/>
  <c r="BW46"/>
  <c r="BO46"/>
  <c r="BG46"/>
  <c r="AY46"/>
  <c r="AQ46"/>
  <c r="AI46"/>
  <c r="CD45"/>
  <c r="BV45"/>
  <c r="BN45"/>
  <c r="BF45"/>
  <c r="AX45"/>
  <c r="AP45"/>
  <c r="CK44"/>
  <c r="CC44"/>
  <c r="BU44"/>
  <c r="BM44"/>
  <c r="BE44"/>
  <c r="AW44"/>
  <c r="AO44"/>
  <c r="CJ43"/>
  <c r="CB43"/>
  <c r="BT43"/>
  <c r="BL43"/>
  <c r="BD43"/>
  <c r="AV43"/>
  <c r="AN43"/>
  <c r="CI42"/>
  <c r="CA42"/>
  <c r="BS42"/>
  <c r="BK42"/>
  <c r="BC42"/>
  <c r="AU42"/>
  <c r="AM42"/>
  <c r="CH41"/>
  <c r="BZ41"/>
  <c r="BR41"/>
  <c r="BJ41"/>
  <c r="BB41"/>
  <c r="AT41"/>
  <c r="AL41"/>
  <c r="CG40"/>
  <c r="BY40"/>
  <c r="BQ40"/>
  <c r="BI40"/>
  <c r="BA40"/>
  <c r="AS40"/>
  <c r="AK40"/>
  <c r="CF39"/>
  <c r="BX39"/>
  <c r="BP39"/>
  <c r="BH39"/>
  <c r="AZ39"/>
  <c r="AR39"/>
  <c r="AJ39"/>
  <c r="CE38"/>
  <c r="BW38"/>
  <c r="BO38"/>
  <c r="BG38"/>
  <c r="AY38"/>
  <c r="AQ38"/>
  <c r="AI38"/>
  <c r="CD37"/>
  <c r="BV37"/>
  <c r="BN37"/>
  <c r="BF37"/>
  <c r="AX37"/>
  <c r="AP37"/>
  <c r="CK36"/>
  <c r="CC36"/>
  <c r="BU36"/>
  <c r="BM36"/>
  <c r="BE36"/>
  <c r="AW36"/>
  <c r="AO36"/>
  <c r="CJ35"/>
  <c r="CB35"/>
  <c r="BT35"/>
  <c r="BL35"/>
  <c r="BD35"/>
  <c r="AV35"/>
  <c r="AN35"/>
  <c r="CI34"/>
  <c r="CA34"/>
  <c r="BS34"/>
  <c r="BK34"/>
  <c r="BC34"/>
  <c r="AU34"/>
  <c r="AM34"/>
  <c r="CH33"/>
  <c r="BZ33"/>
  <c r="BR33"/>
  <c r="BJ33"/>
  <c r="BB33"/>
  <c r="AT33"/>
  <c r="AL33"/>
  <c r="CG32"/>
  <c r="BY32"/>
  <c r="BQ32"/>
  <c r="BI32"/>
  <c r="BA32"/>
  <c r="AS32"/>
  <c r="AK32"/>
  <c r="CF31"/>
  <c r="BX31"/>
  <c r="BP31"/>
  <c r="BH31"/>
  <c r="AZ31"/>
  <c r="AR31"/>
  <c r="AJ31"/>
  <c r="CE30"/>
  <c r="BW30"/>
  <c r="BO30"/>
  <c r="BG30"/>
  <c r="AY30"/>
  <c r="AQ30"/>
  <c r="AI30"/>
  <c r="CD29"/>
  <c r="BV29"/>
  <c r="BN29"/>
  <c r="BF29"/>
  <c r="AX29"/>
  <c r="AP29"/>
  <c r="CK28"/>
  <c r="CC28"/>
  <c r="BU28"/>
  <c r="BM28"/>
  <c r="BE28"/>
  <c r="AW28"/>
  <c r="AO28"/>
  <c r="CJ27"/>
  <c r="CB27"/>
  <c r="BT27"/>
  <c r="BL27"/>
  <c r="BD27"/>
  <c r="AV27"/>
  <c r="AN27"/>
  <c r="CI26"/>
  <c r="CA26"/>
  <c r="BA120"/>
  <c r="BT115"/>
  <c r="AJ111"/>
  <c r="BC106"/>
  <c r="BV101"/>
  <c r="AY97"/>
  <c r="BX94"/>
  <c r="BF92"/>
  <c r="AN90"/>
  <c r="BY87"/>
  <c r="BG85"/>
  <c r="AO83"/>
  <c r="BZ80"/>
  <c r="BQ79"/>
  <c r="BH78"/>
  <c r="BE77"/>
  <c r="CB76"/>
  <c r="AV76"/>
  <c r="BS75"/>
  <c r="AM75"/>
  <c r="BJ74"/>
  <c r="CG73"/>
  <c r="BA73"/>
  <c r="BX72"/>
  <c r="AR72"/>
  <c r="BO71"/>
  <c r="AI71"/>
  <c r="BF70"/>
  <c r="CC69"/>
  <c r="AW69"/>
  <c r="BT68"/>
  <c r="AN68"/>
  <c r="BK67"/>
  <c r="CH66"/>
  <c r="BB66"/>
  <c r="BY65"/>
  <c r="AS65"/>
  <c r="BP64"/>
  <c r="AJ64"/>
  <c r="BG63"/>
  <c r="CD62"/>
  <c r="AX62"/>
  <c r="BU61"/>
  <c r="AO61"/>
  <c r="CB60"/>
  <c r="BL60"/>
  <c r="AV60"/>
  <c r="CI59"/>
  <c r="BS59"/>
  <c r="BE59"/>
  <c r="AU59"/>
  <c r="AJ59"/>
  <c r="CB58"/>
  <c r="BR58"/>
  <c r="BG58"/>
  <c r="AV58"/>
  <c r="AL58"/>
  <c r="CD57"/>
  <c r="BS57"/>
  <c r="BI57"/>
  <c r="AX57"/>
  <c r="AM57"/>
  <c r="CF56"/>
  <c r="BU56"/>
  <c r="BJ56"/>
  <c r="AZ56"/>
  <c r="AO56"/>
  <c r="CG55"/>
  <c r="BW55"/>
  <c r="BL55"/>
  <c r="BA55"/>
  <c r="AQ55"/>
  <c r="CI54"/>
  <c r="BX54"/>
  <c r="BN54"/>
  <c r="BC54"/>
  <c r="AR54"/>
  <c r="CK53"/>
  <c r="BZ53"/>
  <c r="BO53"/>
  <c r="BE53"/>
  <c r="AT53"/>
  <c r="AJ53"/>
  <c r="CD52"/>
  <c r="BU52"/>
  <c r="BL52"/>
  <c r="BC52"/>
  <c r="AT52"/>
  <c r="AK52"/>
  <c r="CD51"/>
  <c r="BU51"/>
  <c r="BL51"/>
  <c r="BC51"/>
  <c r="AT51"/>
  <c r="AK51"/>
  <c r="CE50"/>
  <c r="BU50"/>
  <c r="BL50"/>
  <c r="BD50"/>
  <c r="AV50"/>
  <c r="AN50"/>
  <c r="CI49"/>
  <c r="CA49"/>
  <c r="BS49"/>
  <c r="BK49"/>
  <c r="BC49"/>
  <c r="AU49"/>
  <c r="AM49"/>
  <c r="CH48"/>
  <c r="BZ48"/>
  <c r="BR48"/>
  <c r="BJ48"/>
  <c r="BB48"/>
  <c r="AT48"/>
  <c r="AL48"/>
  <c r="CG47"/>
  <c r="BY47"/>
  <c r="BQ47"/>
  <c r="BI47"/>
  <c r="BA47"/>
  <c r="AS47"/>
  <c r="AK47"/>
  <c r="CF46"/>
  <c r="BX46"/>
  <c r="BP46"/>
  <c r="BH46"/>
  <c r="AZ46"/>
  <c r="AR46"/>
  <c r="AJ46"/>
  <c r="CE45"/>
  <c r="BW45"/>
  <c r="BO45"/>
  <c r="BG45"/>
  <c r="AY45"/>
  <c r="AQ45"/>
  <c r="AI45"/>
  <c r="CD44"/>
  <c r="BV44"/>
  <c r="BN44"/>
  <c r="BF44"/>
  <c r="AX44"/>
  <c r="AP44"/>
  <c r="CK43"/>
  <c r="CC43"/>
  <c r="BU43"/>
  <c r="BM43"/>
  <c r="BE43"/>
  <c r="AW43"/>
  <c r="AO43"/>
  <c r="CJ42"/>
  <c r="CB42"/>
  <c r="BT42"/>
  <c r="BL42"/>
  <c r="BD42"/>
  <c r="AV42"/>
  <c r="AN42"/>
  <c r="CI41"/>
  <c r="CA41"/>
  <c r="BS41"/>
  <c r="BK41"/>
  <c r="BC41"/>
  <c r="AU41"/>
  <c r="AM41"/>
  <c r="CH40"/>
  <c r="BZ40"/>
  <c r="BR40"/>
  <c r="BJ40"/>
  <c r="BB40"/>
  <c r="AT40"/>
  <c r="AL40"/>
  <c r="CG39"/>
  <c r="BY39"/>
  <c r="BQ39"/>
  <c r="BI39"/>
  <c r="BA39"/>
  <c r="AS39"/>
  <c r="AK39"/>
  <c r="CF38"/>
  <c r="BX38"/>
  <c r="BP38"/>
  <c r="BH38"/>
  <c r="AZ38"/>
  <c r="AR38"/>
  <c r="AJ38"/>
  <c r="CE37"/>
  <c r="BW37"/>
  <c r="BO37"/>
  <c r="BG37"/>
  <c r="AY37"/>
  <c r="AQ37"/>
  <c r="AI37"/>
  <c r="CD36"/>
  <c r="BV36"/>
  <c r="BN36"/>
  <c r="BF36"/>
  <c r="AX36"/>
  <c r="AP36"/>
  <c r="CK35"/>
  <c r="CC35"/>
  <c r="BU35"/>
  <c r="BM35"/>
  <c r="BE35"/>
  <c r="AW35"/>
  <c r="AO35"/>
  <c r="CJ34"/>
  <c r="CB34"/>
  <c r="BT34"/>
  <c r="BL34"/>
  <c r="BD34"/>
  <c r="AV34"/>
  <c r="AN34"/>
  <c r="CI33"/>
  <c r="CA33"/>
  <c r="BS33"/>
  <c r="BK33"/>
  <c r="BC33"/>
  <c r="AU33"/>
  <c r="AM33"/>
  <c r="CH32"/>
  <c r="BZ32"/>
  <c r="BR32"/>
  <c r="BJ32"/>
  <c r="BB32"/>
  <c r="AT32"/>
  <c r="AL32"/>
  <c r="CG31"/>
  <c r="BY31"/>
  <c r="BQ31"/>
  <c r="BI31"/>
  <c r="BA31"/>
  <c r="AS31"/>
  <c r="AK31"/>
  <c r="CF30"/>
  <c r="BX30"/>
  <c r="BP30"/>
  <c r="BH30"/>
  <c r="AZ30"/>
  <c r="AR30"/>
  <c r="AJ30"/>
  <c r="CE29"/>
  <c r="BW29"/>
  <c r="BO29"/>
  <c r="BG29"/>
  <c r="AY29"/>
  <c r="AQ29"/>
  <c r="AI29"/>
  <c r="CD28"/>
  <c r="BV28"/>
  <c r="BN28"/>
  <c r="BF28"/>
  <c r="AX28"/>
  <c r="AP28"/>
  <c r="CK27"/>
  <c r="CC27"/>
  <c r="BU27"/>
  <c r="BM27"/>
  <c r="BE27"/>
  <c r="AW27"/>
  <c r="AO27"/>
  <c r="CJ26"/>
  <c r="CB26"/>
  <c r="BJ121"/>
  <c r="CE102"/>
  <c r="BT90"/>
  <c r="BC81"/>
  <c r="CJ76"/>
  <c r="BR74"/>
  <c r="AZ72"/>
  <c r="CK69"/>
  <c r="BS67"/>
  <c r="BA65"/>
  <c r="AI63"/>
  <c r="CE60"/>
  <c r="BV59"/>
  <c r="CE58"/>
  <c r="AN58"/>
  <c r="BA57"/>
  <c r="BM56"/>
  <c r="BY55"/>
  <c r="AI55"/>
  <c r="AU54"/>
  <c r="BG53"/>
  <c r="BW52"/>
  <c r="AM52"/>
  <c r="BE51"/>
  <c r="BX50"/>
  <c r="AP50"/>
  <c r="BM49"/>
  <c r="CJ48"/>
  <c r="BD48"/>
  <c r="CA47"/>
  <c r="AU47"/>
  <c r="BR46"/>
  <c r="AL46"/>
  <c r="BI45"/>
  <c r="CF44"/>
  <c r="AZ44"/>
  <c r="BW43"/>
  <c r="AQ43"/>
  <c r="BN42"/>
  <c r="CK41"/>
  <c r="BE41"/>
  <c r="CB40"/>
  <c r="AV40"/>
  <c r="BS39"/>
  <c r="AM39"/>
  <c r="BJ38"/>
  <c r="CG37"/>
  <c r="BA37"/>
  <c r="BX36"/>
  <c r="AR36"/>
  <c r="BO35"/>
  <c r="AI35"/>
  <c r="BF34"/>
  <c r="CC33"/>
  <c r="AW33"/>
  <c r="BT32"/>
  <c r="AN32"/>
  <c r="BK31"/>
  <c r="CH30"/>
  <c r="BB30"/>
  <c r="BY29"/>
  <c r="AS29"/>
  <c r="BP28"/>
  <c r="AJ28"/>
  <c r="BQ27"/>
  <c r="BA27"/>
  <c r="AK27"/>
  <c r="BX26"/>
  <c r="BO26"/>
  <c r="BG26"/>
  <c r="AY26"/>
  <c r="AQ26"/>
  <c r="AI26"/>
  <c r="CD25"/>
  <c r="BV25"/>
  <c r="BN25"/>
  <c r="BF25"/>
  <c r="AX25"/>
  <c r="AP25"/>
  <c r="CK24"/>
  <c r="CC24"/>
  <c r="BU24"/>
  <c r="BM24"/>
  <c r="BE24"/>
  <c r="AW24"/>
  <c r="AO24"/>
  <c r="CJ23"/>
  <c r="CB23"/>
  <c r="BT23"/>
  <c r="BL23"/>
  <c r="BD23"/>
  <c r="AV23"/>
  <c r="AN23"/>
  <c r="CI22"/>
  <c r="CA22"/>
  <c r="BS22"/>
  <c r="BK22"/>
  <c r="BC22"/>
  <c r="AU22"/>
  <c r="AM22"/>
  <c r="CH21"/>
  <c r="BZ21"/>
  <c r="BR21"/>
  <c r="BJ21"/>
  <c r="BB21"/>
  <c r="AT21"/>
  <c r="AL21"/>
  <c r="CG20"/>
  <c r="BY20"/>
  <c r="BQ20"/>
  <c r="BI20"/>
  <c r="BA20"/>
  <c r="AS20"/>
  <c r="AK20"/>
  <c r="CF19"/>
  <c r="BX19"/>
  <c r="BP19"/>
  <c r="BH19"/>
  <c r="AZ19"/>
  <c r="AR19"/>
  <c r="AJ19"/>
  <c r="CE18"/>
  <c r="BW18"/>
  <c r="BO18"/>
  <c r="BG18"/>
  <c r="AY18"/>
  <c r="AQ18"/>
  <c r="AI18"/>
  <c r="CD17"/>
  <c r="BV17"/>
  <c r="BN17"/>
  <c r="BF17"/>
  <c r="AX17"/>
  <c r="AP17"/>
  <c r="CK16"/>
  <c r="CC16"/>
  <c r="BU16"/>
  <c r="BM16"/>
  <c r="BE16"/>
  <c r="AW16"/>
  <c r="AO16"/>
  <c r="BV19"/>
  <c r="AW18"/>
  <c r="AV17"/>
  <c r="AO90"/>
  <c r="CE62"/>
  <c r="BV52"/>
  <c r="BC48"/>
  <c r="AY44"/>
  <c r="AL39"/>
  <c r="AQ36"/>
  <c r="AV33"/>
  <c r="BJ31"/>
  <c r="AI28"/>
  <c r="BF26"/>
  <c r="BU25"/>
  <c r="CB24"/>
  <c r="AN24"/>
  <c r="AU23"/>
  <c r="BR22"/>
  <c r="BY21"/>
  <c r="CF20"/>
  <c r="BW19"/>
  <c r="AI19"/>
  <c r="AX18"/>
  <c r="BM17"/>
  <c r="CB16"/>
  <c r="BL16"/>
  <c r="BE106"/>
  <c r="BG92"/>
  <c r="AP83"/>
  <c r="BF77"/>
  <c r="AN75"/>
  <c r="BY72"/>
  <c r="BG70"/>
  <c r="AO68"/>
  <c r="BZ65"/>
  <c r="BH63"/>
  <c r="AP61"/>
  <c r="CJ59"/>
  <c r="AK59"/>
  <c r="AW58"/>
  <c r="BJ57"/>
  <c r="BV56"/>
  <c r="CH55"/>
  <c r="AR55"/>
  <c r="BD54"/>
  <c r="BP53"/>
  <c r="CE52"/>
  <c r="AU52"/>
  <c r="BM51"/>
  <c r="CF50"/>
  <c r="AW50"/>
  <c r="BT49"/>
  <c r="AN49"/>
  <c r="BK48"/>
  <c r="CH47"/>
  <c r="BB47"/>
  <c r="BY46"/>
  <c r="AS46"/>
  <c r="BP45"/>
  <c r="AJ45"/>
  <c r="BG44"/>
  <c r="CD43"/>
  <c r="AX43"/>
  <c r="BU42"/>
  <c r="AO42"/>
  <c r="BL41"/>
  <c r="CI40"/>
  <c r="BC40"/>
  <c r="BZ39"/>
  <c r="AT39"/>
  <c r="BQ38"/>
  <c r="AK38"/>
  <c r="BH37"/>
  <c r="CE36"/>
  <c r="AY36"/>
  <c r="BV35"/>
  <c r="AP35"/>
  <c r="BM34"/>
  <c r="CJ33"/>
  <c r="BD33"/>
  <c r="CA32"/>
  <c r="AU32"/>
  <c r="BR31"/>
  <c r="AL31"/>
  <c r="BI30"/>
  <c r="CF29"/>
  <c r="AZ29"/>
  <c r="BW28"/>
  <c r="AQ28"/>
  <c r="BR27"/>
  <c r="BB27"/>
  <c r="AL27"/>
  <c r="BY26"/>
  <c r="BP26"/>
  <c r="BH26"/>
  <c r="AZ26"/>
  <c r="AR26"/>
  <c r="AJ26"/>
  <c r="CE25"/>
  <c r="BW25"/>
  <c r="BO25"/>
  <c r="BG25"/>
  <c r="AY25"/>
  <c r="AQ25"/>
  <c r="AI25"/>
  <c r="CD24"/>
  <c r="BV24"/>
  <c r="BN24"/>
  <c r="BF24"/>
  <c r="AX24"/>
  <c r="AP24"/>
  <c r="CK23"/>
  <c r="CC23"/>
  <c r="BU23"/>
  <c r="BM23"/>
  <c r="BE23"/>
  <c r="AW23"/>
  <c r="AO23"/>
  <c r="CJ22"/>
  <c r="CB22"/>
  <c r="BT22"/>
  <c r="BL22"/>
  <c r="BD22"/>
  <c r="AV22"/>
  <c r="AN22"/>
  <c r="CI21"/>
  <c r="CA21"/>
  <c r="BS21"/>
  <c r="BK21"/>
  <c r="BC21"/>
  <c r="AU21"/>
  <c r="AM21"/>
  <c r="CH20"/>
  <c r="BZ20"/>
  <c r="BR20"/>
  <c r="BJ20"/>
  <c r="BB20"/>
  <c r="AT20"/>
  <c r="AL20"/>
  <c r="CG19"/>
  <c r="BY19"/>
  <c r="BQ19"/>
  <c r="BI19"/>
  <c r="BA19"/>
  <c r="AS19"/>
  <c r="AK19"/>
  <c r="CF18"/>
  <c r="BX18"/>
  <c r="BP18"/>
  <c r="BH18"/>
  <c r="AZ18"/>
  <c r="AR18"/>
  <c r="AJ18"/>
  <c r="CE17"/>
  <c r="BW17"/>
  <c r="BO17"/>
  <c r="BG17"/>
  <c r="AY17"/>
  <c r="AQ17"/>
  <c r="AI17"/>
  <c r="CD16"/>
  <c r="BV16"/>
  <c r="BN16"/>
  <c r="BF16"/>
  <c r="AX16"/>
  <c r="AP16"/>
  <c r="BF19"/>
  <c r="AO18"/>
  <c r="AN17"/>
  <c r="CA16"/>
  <c r="AM16"/>
  <c r="BX101"/>
  <c r="AT65"/>
  <c r="CC58"/>
  <c r="BK56"/>
  <c r="CJ54"/>
  <c r="BW50"/>
  <c r="AT47"/>
  <c r="AP43"/>
  <c r="AU40"/>
  <c r="CF37"/>
  <c r="CB33"/>
  <c r="BA30"/>
  <c r="BO27"/>
  <c r="AX26"/>
  <c r="CJ24"/>
  <c r="CA23"/>
  <c r="CH22"/>
  <c r="CG21"/>
  <c r="AK21"/>
  <c r="BO19"/>
  <c r="BV18"/>
  <c r="BE17"/>
  <c r="AV16"/>
  <c r="BL107"/>
  <c r="AI93"/>
  <c r="BU83"/>
  <c r="BO77"/>
  <c r="AU75"/>
  <c r="CF72"/>
  <c r="BN70"/>
  <c r="AV68"/>
  <c r="CG65"/>
  <c r="BO63"/>
  <c r="AW61"/>
  <c r="AI60"/>
  <c r="AM59"/>
  <c r="AY58"/>
  <c r="BK57"/>
  <c r="BX56"/>
  <c r="CJ55"/>
  <c r="AS55"/>
  <c r="BF54"/>
  <c r="BR53"/>
  <c r="CG52"/>
  <c r="AV52"/>
  <c r="BN51"/>
  <c r="CG50"/>
  <c r="AX50"/>
  <c r="BU49"/>
  <c r="AO49"/>
  <c r="BL48"/>
  <c r="CI47"/>
  <c r="BC47"/>
  <c r="BZ46"/>
  <c r="AT46"/>
  <c r="BQ45"/>
  <c r="AK45"/>
  <c r="BH44"/>
  <c r="CE43"/>
  <c r="AY43"/>
  <c r="BV42"/>
  <c r="AP42"/>
  <c r="BM41"/>
  <c r="CJ40"/>
  <c r="BD40"/>
  <c r="CA39"/>
  <c r="AU39"/>
  <c r="BR38"/>
  <c r="AL38"/>
  <c r="BI37"/>
  <c r="CF36"/>
  <c r="AZ36"/>
  <c r="BW35"/>
  <c r="AQ35"/>
  <c r="BN34"/>
  <c r="CK33"/>
  <c r="BE33"/>
  <c r="CB32"/>
  <c r="AV32"/>
  <c r="BS31"/>
  <c r="AM31"/>
  <c r="BJ30"/>
  <c r="CG29"/>
  <c r="BA29"/>
  <c r="BX28"/>
  <c r="AR28"/>
  <c r="BV27"/>
  <c r="BF27"/>
  <c r="AP27"/>
  <c r="CC26"/>
  <c r="BQ26"/>
  <c r="BI26"/>
  <c r="BA26"/>
  <c r="AS26"/>
  <c r="AK26"/>
  <c r="CF25"/>
  <c r="BX25"/>
  <c r="BP25"/>
  <c r="BH25"/>
  <c r="AZ25"/>
  <c r="AR25"/>
  <c r="AJ25"/>
  <c r="CE24"/>
  <c r="BW24"/>
  <c r="BO24"/>
  <c r="BG24"/>
  <c r="AY24"/>
  <c r="AQ24"/>
  <c r="AI24"/>
  <c r="CD23"/>
  <c r="BV23"/>
  <c r="BN23"/>
  <c r="BF23"/>
  <c r="AX23"/>
  <c r="AP23"/>
  <c r="CK22"/>
  <c r="CC22"/>
  <c r="BU22"/>
  <c r="BM22"/>
  <c r="BE22"/>
  <c r="AW22"/>
  <c r="AO22"/>
  <c r="CJ21"/>
  <c r="CB21"/>
  <c r="BT21"/>
  <c r="BL21"/>
  <c r="BD21"/>
  <c r="AV21"/>
  <c r="AN21"/>
  <c r="CI20"/>
  <c r="CA20"/>
  <c r="BS20"/>
  <c r="BK20"/>
  <c r="BC20"/>
  <c r="AU20"/>
  <c r="AM20"/>
  <c r="CH19"/>
  <c r="BZ19"/>
  <c r="BR19"/>
  <c r="BJ19"/>
  <c r="BB19"/>
  <c r="AT19"/>
  <c r="AL19"/>
  <c r="CG18"/>
  <c r="BY18"/>
  <c r="BQ18"/>
  <c r="BI18"/>
  <c r="BA18"/>
  <c r="AS18"/>
  <c r="AK18"/>
  <c r="CF17"/>
  <c r="BX17"/>
  <c r="BP17"/>
  <c r="BH17"/>
  <c r="AZ17"/>
  <c r="AR17"/>
  <c r="AJ17"/>
  <c r="CE16"/>
  <c r="BW16"/>
  <c r="BO16"/>
  <c r="BG16"/>
  <c r="AY16"/>
  <c r="AQ16"/>
  <c r="AI16"/>
  <c r="AS25"/>
  <c r="BF22"/>
  <c r="AP22"/>
  <c r="CK21"/>
  <c r="CC21"/>
  <c r="BM21"/>
  <c r="BE21"/>
  <c r="AW21"/>
  <c r="AO21"/>
  <c r="CJ20"/>
  <c r="CB20"/>
  <c r="BT20"/>
  <c r="BD20"/>
  <c r="AV20"/>
  <c r="AN20"/>
  <c r="CI19"/>
  <c r="CA19"/>
  <c r="BS19"/>
  <c r="BK19"/>
  <c r="BC19"/>
  <c r="AU19"/>
  <c r="AM19"/>
  <c r="CH18"/>
  <c r="BZ18"/>
  <c r="BR18"/>
  <c r="BJ18"/>
  <c r="AT18"/>
  <c r="AL18"/>
  <c r="CG17"/>
  <c r="BY17"/>
  <c r="BQ17"/>
  <c r="BI17"/>
  <c r="BA17"/>
  <c r="AS17"/>
  <c r="AK17"/>
  <c r="CF16"/>
  <c r="BX16"/>
  <c r="BP16"/>
  <c r="BH16"/>
  <c r="AZ16"/>
  <c r="AR16"/>
  <c r="AJ16"/>
  <c r="AN19"/>
  <c r="AU18"/>
  <c r="CH17"/>
  <c r="BZ17"/>
  <c r="BR17"/>
  <c r="BJ17"/>
  <c r="BB17"/>
  <c r="AL17"/>
  <c r="CG16"/>
  <c r="BY16"/>
  <c r="BQ16"/>
  <c r="BI16"/>
  <c r="BA16"/>
  <c r="AS16"/>
  <c r="AK16"/>
  <c r="AX34"/>
  <c r="AU24"/>
  <c r="AL23"/>
  <c r="BA22"/>
  <c r="CF21"/>
  <c r="BH21"/>
  <c r="AJ21"/>
  <c r="BG20"/>
  <c r="AI20"/>
  <c r="AP19"/>
  <c r="BU18"/>
  <c r="CB17"/>
  <c r="BK16"/>
  <c r="CC76"/>
  <c r="CD69"/>
  <c r="AM58"/>
  <c r="AL52"/>
  <c r="BZ47"/>
  <c r="CE44"/>
  <c r="BD41"/>
  <c r="AZ37"/>
  <c r="BE34"/>
  <c r="BX29"/>
  <c r="AI27"/>
  <c r="CC25"/>
  <c r="BE25"/>
  <c r="BT24"/>
  <c r="BC23"/>
  <c r="BJ22"/>
  <c r="BQ21"/>
  <c r="BX20"/>
  <c r="AR20"/>
  <c r="CE19"/>
  <c r="CD18"/>
  <c r="AP18"/>
  <c r="AO17"/>
  <c r="AN16"/>
  <c r="AL111"/>
  <c r="BY94"/>
  <c r="BH85"/>
  <c r="BI78"/>
  <c r="BT75"/>
  <c r="BB73"/>
  <c r="AJ71"/>
  <c r="BU68"/>
  <c r="BC66"/>
  <c r="AK64"/>
  <c r="BV61"/>
  <c r="AW60"/>
  <c r="AV59"/>
  <c r="BH58"/>
  <c r="BT57"/>
  <c r="CG56"/>
  <c r="AP56"/>
  <c r="BB55"/>
  <c r="BO54"/>
  <c r="CA53"/>
  <c r="AL53"/>
  <c r="BD52"/>
  <c r="BV51"/>
  <c r="AL51"/>
  <c r="BE50"/>
  <c r="CB49"/>
  <c r="AV49"/>
  <c r="BS48"/>
  <c r="AM48"/>
  <c r="BJ47"/>
  <c r="CG46"/>
  <c r="BA46"/>
  <c r="BX45"/>
  <c r="AR45"/>
  <c r="BO44"/>
  <c r="AI44"/>
  <c r="BF43"/>
  <c r="CC42"/>
  <c r="AW42"/>
  <c r="BT41"/>
  <c r="AN41"/>
  <c r="BK40"/>
  <c r="CH39"/>
  <c r="BB39"/>
  <c r="BY38"/>
  <c r="AS38"/>
  <c r="BP37"/>
  <c r="AJ37"/>
  <c r="BG36"/>
  <c r="CD35"/>
  <c r="AX35"/>
  <c r="BU34"/>
  <c r="AO34"/>
  <c r="BL33"/>
  <c r="CI32"/>
  <c r="BC32"/>
  <c r="BZ31"/>
  <c r="AT31"/>
  <c r="BQ30"/>
  <c r="AK30"/>
  <c r="BH29"/>
  <c r="CE28"/>
  <c r="AY28"/>
  <c r="BW27"/>
  <c r="BG27"/>
  <c r="AQ27"/>
  <c r="CD26"/>
  <c r="BR26"/>
  <c r="BJ26"/>
  <c r="BB26"/>
  <c r="AT26"/>
  <c r="AL26"/>
  <c r="CG25"/>
  <c r="BY25"/>
  <c r="BQ25"/>
  <c r="BI25"/>
  <c r="BA25"/>
  <c r="AK25"/>
  <c r="CF24"/>
  <c r="BX24"/>
  <c r="BP24"/>
  <c r="BH24"/>
  <c r="AZ24"/>
  <c r="AR24"/>
  <c r="AJ24"/>
  <c r="CE23"/>
  <c r="BW23"/>
  <c r="BO23"/>
  <c r="BG23"/>
  <c r="AY23"/>
  <c r="AQ23"/>
  <c r="AI23"/>
  <c r="CD22"/>
  <c r="BV22"/>
  <c r="BN22"/>
  <c r="AX22"/>
  <c r="BU21"/>
  <c r="BL20"/>
  <c r="BB18"/>
  <c r="BE26"/>
  <c r="AK22"/>
  <c r="AR21"/>
  <c r="AY20"/>
  <c r="AX19"/>
  <c r="BM18"/>
  <c r="BL17"/>
  <c r="AU16"/>
  <c r="BC120"/>
  <c r="BK74"/>
  <c r="AS72"/>
  <c r="AS54"/>
  <c r="CI48"/>
  <c r="BH45"/>
  <c r="BV43"/>
  <c r="BI38"/>
  <c r="CK34"/>
  <c r="AM32"/>
  <c r="BO28"/>
  <c r="BN26"/>
  <c r="CK25"/>
  <c r="AO25"/>
  <c r="BD24"/>
  <c r="CI23"/>
  <c r="BK23"/>
  <c r="BZ22"/>
  <c r="AL22"/>
  <c r="AS21"/>
  <c r="BH20"/>
  <c r="AY19"/>
  <c r="BN18"/>
  <c r="CC17"/>
  <c r="AW17"/>
  <c r="BT16"/>
  <c r="AS112"/>
  <c r="BA95"/>
  <c r="AJ86"/>
  <c r="BX78"/>
  <c r="CA75"/>
  <c r="BI73"/>
  <c r="AQ71"/>
  <c r="CB68"/>
  <c r="BJ66"/>
  <c r="AR64"/>
  <c r="CC61"/>
  <c r="AY60"/>
  <c r="AW59"/>
  <c r="BJ58"/>
  <c r="BV57"/>
  <c r="CH56"/>
  <c r="AR56"/>
  <c r="BD55"/>
  <c r="BP54"/>
  <c r="CC53"/>
  <c r="AM53"/>
  <c r="BE52"/>
  <c r="BX51"/>
  <c r="AM51"/>
  <c r="BF50"/>
  <c r="CC49"/>
  <c r="AW49"/>
  <c r="BT48"/>
  <c r="AN48"/>
  <c r="BK47"/>
  <c r="CH46"/>
  <c r="BB46"/>
  <c r="BY45"/>
  <c r="AS45"/>
  <c r="BP44"/>
  <c r="AJ44"/>
  <c r="BG43"/>
  <c r="CD42"/>
  <c r="AX42"/>
  <c r="BU41"/>
  <c r="AO41"/>
  <c r="BL40"/>
  <c r="CI39"/>
  <c r="BC39"/>
  <c r="BZ38"/>
  <c r="AT38"/>
  <c r="BQ37"/>
  <c r="AK37"/>
  <c r="BH36"/>
  <c r="CE35"/>
  <c r="AY35"/>
  <c r="BV34"/>
  <c r="AP34"/>
  <c r="BM33"/>
  <c r="CJ32"/>
  <c r="BD32"/>
  <c r="CA31"/>
  <c r="AU31"/>
  <c r="BR30"/>
  <c r="AL30"/>
  <c r="BI29"/>
  <c r="CF28"/>
  <c r="AZ28"/>
  <c r="BY27"/>
  <c r="BI27"/>
  <c r="AS27"/>
  <c r="CF26"/>
  <c r="BS26"/>
  <c r="BK26"/>
  <c r="BC26"/>
  <c r="AU26"/>
  <c r="AM26"/>
  <c r="CH25"/>
  <c r="BZ25"/>
  <c r="BR25"/>
  <c r="BJ25"/>
  <c r="BB25"/>
  <c r="AT25"/>
  <c r="AL25"/>
  <c r="CG24"/>
  <c r="BY24"/>
  <c r="BQ24"/>
  <c r="BI24"/>
  <c r="BA24"/>
  <c r="AS24"/>
  <c r="AK24"/>
  <c r="CF23"/>
  <c r="BX23"/>
  <c r="BP23"/>
  <c r="BH23"/>
  <c r="AZ23"/>
  <c r="AR23"/>
  <c r="AJ23"/>
  <c r="CE22"/>
  <c r="BW22"/>
  <c r="BO22"/>
  <c r="BG22"/>
  <c r="AY22"/>
  <c r="AQ22"/>
  <c r="AI22"/>
  <c r="CD21"/>
  <c r="BV21"/>
  <c r="BN21"/>
  <c r="BF21"/>
  <c r="AX21"/>
  <c r="AP21"/>
  <c r="CK20"/>
  <c r="CC20"/>
  <c r="BU20"/>
  <c r="BM20"/>
  <c r="BE20"/>
  <c r="AW20"/>
  <c r="AO20"/>
  <c r="CJ19"/>
  <c r="CB19"/>
  <c r="BT19"/>
  <c r="BL19"/>
  <c r="BD19"/>
  <c r="AV19"/>
  <c r="CI18"/>
  <c r="CA18"/>
  <c r="BS18"/>
  <c r="BK18"/>
  <c r="BC18"/>
  <c r="AM18"/>
  <c r="AT17"/>
  <c r="CJ25"/>
  <c r="BP21"/>
  <c r="BO20"/>
  <c r="CD19"/>
  <c r="CK18"/>
  <c r="BE18"/>
  <c r="BT17"/>
  <c r="CI16"/>
  <c r="BS16"/>
  <c r="BL67"/>
  <c r="BT59"/>
  <c r="AY57"/>
  <c r="BX55"/>
  <c r="BD51"/>
  <c r="AO50"/>
  <c r="BQ46"/>
  <c r="BM42"/>
  <c r="BR39"/>
  <c r="BN35"/>
  <c r="CG30"/>
  <c r="AY27"/>
  <c r="AW25"/>
  <c r="AV24"/>
  <c r="BS23"/>
  <c r="AT22"/>
  <c r="BA21"/>
  <c r="AZ20"/>
  <c r="AQ19"/>
  <c r="CK17"/>
  <c r="BD16"/>
  <c r="BV115"/>
  <c r="AZ97"/>
  <c r="BZ87"/>
  <c r="BR79"/>
  <c r="AW76"/>
  <c r="CH73"/>
  <c r="BP71"/>
  <c r="AX69"/>
  <c r="CI66"/>
  <c r="BQ64"/>
  <c r="AY62"/>
  <c r="BM60"/>
  <c r="BF59"/>
  <c r="BS58"/>
  <c r="CE57"/>
  <c r="AN57"/>
  <c r="BA56"/>
  <c r="BM55"/>
  <c r="BY54"/>
  <c r="AI54"/>
  <c r="AU53"/>
  <c r="BM52"/>
  <c r="CF51"/>
  <c r="AU51"/>
  <c r="BM50"/>
  <c r="CJ49"/>
  <c r="BD49"/>
  <c r="CA48"/>
  <c r="AU48"/>
  <c r="BR47"/>
  <c r="AL47"/>
  <c r="BI46"/>
  <c r="CF45"/>
  <c r="AZ45"/>
  <c r="BW44"/>
  <c r="AQ44"/>
  <c r="BN43"/>
  <c r="CK42"/>
  <c r="BE42"/>
  <c r="CB41"/>
  <c r="AV41"/>
  <c r="BS40"/>
  <c r="AM40"/>
  <c r="BJ39"/>
  <c r="CG38"/>
  <c r="BA38"/>
  <c r="BX37"/>
  <c r="AR37"/>
  <c r="BO36"/>
  <c r="AI36"/>
  <c r="BF35"/>
  <c r="CC34"/>
  <c r="AW34"/>
  <c r="BT33"/>
  <c r="AN33"/>
  <c r="BK32"/>
  <c r="CH31"/>
  <c r="BB31"/>
  <c r="BY30"/>
  <c r="AS30"/>
  <c r="BP29"/>
  <c r="AJ29"/>
  <c r="BG28"/>
  <c r="CD27"/>
  <c r="BJ27"/>
  <c r="AT27"/>
  <c r="CG26"/>
  <c r="BT26"/>
  <c r="BL26"/>
  <c r="BD26"/>
  <c r="AV26"/>
  <c r="AN26"/>
  <c r="CI25"/>
  <c r="CA25"/>
  <c r="BS25"/>
  <c r="BK25"/>
  <c r="BC25"/>
  <c r="AU25"/>
  <c r="AM25"/>
  <c r="CH24"/>
  <c r="BZ24"/>
  <c r="BR24"/>
  <c r="BJ24"/>
  <c r="BB24"/>
  <c r="AT24"/>
  <c r="AL24"/>
  <c r="CG23"/>
  <c r="BY23"/>
  <c r="BQ23"/>
  <c r="BI23"/>
  <c r="BA23"/>
  <c r="AS23"/>
  <c r="AK23"/>
  <c r="CF22"/>
  <c r="BX22"/>
  <c r="BP22"/>
  <c r="BH22"/>
  <c r="AZ22"/>
  <c r="AR22"/>
  <c r="AJ22"/>
  <c r="CE21"/>
  <c r="BW21"/>
  <c r="BO21"/>
  <c r="BG21"/>
  <c r="AY21"/>
  <c r="AQ21"/>
  <c r="AI21"/>
  <c r="CD20"/>
  <c r="BV20"/>
  <c r="BN20"/>
  <c r="BF20"/>
  <c r="AX20"/>
  <c r="AP20"/>
  <c r="CK19"/>
  <c r="CC19"/>
  <c r="BU19"/>
  <c r="BM19"/>
  <c r="BE19"/>
  <c r="AW19"/>
  <c r="AO19"/>
  <c r="CJ18"/>
  <c r="CB18"/>
  <c r="BT18"/>
  <c r="BL18"/>
  <c r="BD18"/>
  <c r="AV18"/>
  <c r="AN18"/>
  <c r="CI17"/>
  <c r="CA17"/>
  <c r="BS17"/>
  <c r="BK17"/>
  <c r="BC17"/>
  <c r="AU17"/>
  <c r="AM17"/>
  <c r="CH16"/>
  <c r="BZ16"/>
  <c r="BR16"/>
  <c r="BJ16"/>
  <c r="BB16"/>
  <c r="AT16"/>
  <c r="AL16"/>
  <c r="CC116"/>
  <c r="AU98"/>
  <c r="BB88"/>
  <c r="CG79"/>
  <c r="BD76"/>
  <c r="AL74"/>
  <c r="BW71"/>
  <c r="BE69"/>
  <c r="AM67"/>
  <c r="BX64"/>
  <c r="BF62"/>
  <c r="BO60"/>
  <c r="BH59"/>
  <c r="BT58"/>
  <c r="CG57"/>
  <c r="AP57"/>
  <c r="BB56"/>
  <c r="BO55"/>
  <c r="CA54"/>
  <c r="AJ54"/>
  <c r="AW53"/>
  <c r="BN52"/>
  <c r="CG51"/>
  <c r="AV51"/>
  <c r="BO50"/>
  <c r="CK49"/>
  <c r="BE49"/>
  <c r="CB48"/>
  <c r="AV48"/>
  <c r="BS47"/>
  <c r="AM47"/>
  <c r="BJ46"/>
  <c r="CG45"/>
  <c r="BA45"/>
  <c r="BX44"/>
  <c r="AR44"/>
  <c r="BO43"/>
  <c r="AI43"/>
  <c r="BF42"/>
  <c r="CC41"/>
  <c r="AW41"/>
  <c r="BT40"/>
  <c r="AN40"/>
  <c r="BK39"/>
  <c r="CH38"/>
  <c r="BB38"/>
  <c r="BY37"/>
  <c r="AS37"/>
  <c r="BP36"/>
  <c r="AJ36"/>
  <c r="BG35"/>
  <c r="CD34"/>
  <c r="BU33"/>
  <c r="AO33"/>
  <c r="BL32"/>
  <c r="CI31"/>
  <c r="BC31"/>
  <c r="BZ30"/>
  <c r="AT30"/>
  <c r="BQ29"/>
  <c r="AK29"/>
  <c r="BH28"/>
  <c r="CE27"/>
  <c r="BN27"/>
  <c r="AX27"/>
  <c r="CK26"/>
  <c r="BU26"/>
  <c r="BM26"/>
  <c r="AW26"/>
  <c r="AO26"/>
  <c r="CB25"/>
  <c r="BT25"/>
  <c r="BL25"/>
  <c r="BD25"/>
  <c r="AV25"/>
  <c r="AN25"/>
  <c r="CI24"/>
  <c r="CA24"/>
  <c r="BS24"/>
  <c r="BK24"/>
  <c r="BC24"/>
  <c r="AM24"/>
  <c r="CH23"/>
  <c r="BZ23"/>
  <c r="BR23"/>
  <c r="BJ23"/>
  <c r="BB23"/>
  <c r="AT23"/>
  <c r="CG22"/>
  <c r="BY22"/>
  <c r="BQ22"/>
  <c r="BI22"/>
  <c r="AS22"/>
  <c r="BX21"/>
  <c r="AZ21"/>
  <c r="CE20"/>
  <c r="BW20"/>
  <c r="AQ20"/>
  <c r="BN19"/>
  <c r="CC18"/>
  <c r="CJ17"/>
  <c r="BD17"/>
  <c r="BC16"/>
  <c r="CA80"/>
  <c r="CC60"/>
  <c r="BF53"/>
  <c r="BL49"/>
  <c r="AK46"/>
  <c r="CJ41"/>
  <c r="CA40"/>
  <c r="BW36"/>
  <c r="BS32"/>
  <c r="AR29"/>
  <c r="BV26"/>
  <c r="AP26"/>
  <c r="BM25"/>
  <c r="BL24"/>
  <c r="AM23"/>
  <c r="BB22"/>
  <c r="BI21"/>
  <c r="BP20"/>
  <c r="AJ20"/>
  <c r="BG19"/>
  <c r="BF18"/>
  <c r="BU17"/>
  <c r="CJ16"/>
  <c r="E16" a="1"/>
  <c r="E117" l="1"/>
  <c r="F117" s="1"/>
  <c r="E51"/>
  <c r="F51" s="1"/>
  <c r="E115"/>
  <c r="F115" s="1"/>
  <c r="E93"/>
  <c r="F93" s="1"/>
  <c r="E108"/>
  <c r="F108" s="1"/>
  <c r="E74"/>
  <c r="F74" s="1"/>
  <c r="E33"/>
  <c r="F33" s="1"/>
  <c r="E105"/>
  <c r="F105" s="1"/>
  <c r="E56"/>
  <c r="F56" s="1"/>
  <c r="E120"/>
  <c r="F120" s="1"/>
  <c r="E45"/>
  <c r="F45" s="1"/>
  <c r="E79"/>
  <c r="F79" s="1"/>
  <c r="E46"/>
  <c r="F46" s="1"/>
  <c r="E110"/>
  <c r="F110" s="1"/>
  <c r="E69"/>
  <c r="F69" s="1"/>
  <c r="E43"/>
  <c r="F43" s="1"/>
  <c r="E107"/>
  <c r="F107" s="1"/>
  <c r="E37"/>
  <c r="F37" s="1"/>
  <c r="E76"/>
  <c r="F76" s="1"/>
  <c r="E66"/>
  <c r="F66" s="1"/>
  <c r="E25"/>
  <c r="F25" s="1"/>
  <c r="E97"/>
  <c r="F97" s="1"/>
  <c r="E48"/>
  <c r="F48" s="1"/>
  <c r="E112"/>
  <c r="F112" s="1"/>
  <c r="E103"/>
  <c r="F103" s="1"/>
  <c r="E63"/>
  <c r="F63" s="1"/>
  <c r="E38"/>
  <c r="F38" s="1"/>
  <c r="E102"/>
  <c r="F102" s="1"/>
  <c r="E21"/>
  <c r="F21" s="1"/>
  <c r="E35"/>
  <c r="F35" s="1"/>
  <c r="E99"/>
  <c r="F99" s="1"/>
  <c r="E122"/>
  <c r="F122" s="1"/>
  <c r="E36"/>
  <c r="F36" s="1"/>
  <c r="E58"/>
  <c r="F58" s="1"/>
  <c r="E17"/>
  <c r="F17" s="1"/>
  <c r="E89"/>
  <c r="F89" s="1"/>
  <c r="E40"/>
  <c r="F40" s="1"/>
  <c r="E104"/>
  <c r="F104" s="1"/>
  <c r="E71"/>
  <c r="F71" s="1"/>
  <c r="E55"/>
  <c r="F55" s="1"/>
  <c r="E30"/>
  <c r="F30" s="1"/>
  <c r="E94"/>
  <c r="F94" s="1"/>
  <c r="E27"/>
  <c r="F27" s="1"/>
  <c r="E91"/>
  <c r="F91" s="1"/>
  <c r="E100"/>
  <c r="F100" s="1"/>
  <c r="E101"/>
  <c r="F101" s="1"/>
  <c r="E50"/>
  <c r="F50" s="1"/>
  <c r="E81"/>
  <c r="F81" s="1"/>
  <c r="E32"/>
  <c r="F32" s="1"/>
  <c r="E96"/>
  <c r="F96" s="1"/>
  <c r="E47"/>
  <c r="F47" s="1"/>
  <c r="E39"/>
  <c r="F39" s="1"/>
  <c r="E22"/>
  <c r="F22" s="1"/>
  <c r="E86"/>
  <c r="F86" s="1"/>
  <c r="E19"/>
  <c r="F19" s="1"/>
  <c r="E68"/>
  <c r="F68" s="1"/>
  <c r="E42"/>
  <c r="F42" s="1"/>
  <c r="E73"/>
  <c r="F73" s="1"/>
  <c r="E88"/>
  <c r="F88" s="1"/>
  <c r="E31"/>
  <c r="F31" s="1"/>
  <c r="E78"/>
  <c r="F78" s="1"/>
  <c r="E75"/>
  <c r="F75" s="1"/>
  <c r="E57"/>
  <c r="F57" s="1"/>
  <c r="E98"/>
  <c r="F98" s="1"/>
  <c r="E16"/>
  <c r="F16" s="1"/>
  <c r="E44"/>
  <c r="F44" s="1"/>
  <c r="E111"/>
  <c r="F111" s="1"/>
  <c r="E67"/>
  <c r="F67" s="1"/>
  <c r="E116"/>
  <c r="F116" s="1"/>
  <c r="E90"/>
  <c r="F90" s="1"/>
  <c r="E121"/>
  <c r="F121" s="1"/>
  <c r="E109"/>
  <c r="F109" s="1"/>
  <c r="E95"/>
  <c r="F95" s="1"/>
  <c r="E59"/>
  <c r="F59" s="1"/>
  <c r="E123"/>
  <c r="F123" s="1"/>
  <c r="E18"/>
  <c r="F18" s="1"/>
  <c r="E82"/>
  <c r="F82" s="1"/>
  <c r="E113"/>
  <c r="F113" s="1"/>
  <c r="E61"/>
  <c r="F61" s="1"/>
  <c r="E87"/>
  <c r="F87" s="1"/>
  <c r="E118"/>
  <c r="F118" s="1"/>
  <c r="E114"/>
  <c r="F114" s="1"/>
  <c r="E83"/>
  <c r="F83" s="1"/>
  <c r="E53"/>
  <c r="F53" s="1"/>
  <c r="E106"/>
  <c r="F106" s="1"/>
  <c r="E24"/>
  <c r="F24" s="1"/>
  <c r="E84"/>
  <c r="F84" s="1"/>
  <c r="E119"/>
  <c r="F119" s="1"/>
  <c r="E92"/>
  <c r="F92" s="1"/>
  <c r="E77"/>
  <c r="F77" s="1"/>
  <c r="E34"/>
  <c r="F34" s="1"/>
  <c r="E65"/>
  <c r="F65" s="1"/>
  <c r="E80"/>
  <c r="F80" s="1"/>
  <c r="E23"/>
  <c r="F23" s="1"/>
  <c r="E70"/>
  <c r="F70" s="1"/>
  <c r="E60"/>
  <c r="F60" s="1"/>
  <c r="E29"/>
  <c r="F29" s="1"/>
  <c r="E26"/>
  <c r="F26" s="1"/>
  <c r="E49"/>
  <c r="F49" s="1"/>
  <c r="E72"/>
  <c r="F72" s="1"/>
  <c r="E28"/>
  <c r="F28" s="1"/>
  <c r="E62"/>
  <c r="F62" s="1"/>
  <c r="E20"/>
  <c r="F20" s="1"/>
  <c r="E52"/>
  <c r="F52" s="1"/>
  <c r="E41"/>
  <c r="F41" s="1"/>
  <c r="E64"/>
  <c r="F64" s="1"/>
  <c r="E85"/>
  <c r="F85" s="1"/>
  <c r="E54"/>
  <c r="F54" s="1"/>
</calcChain>
</file>

<file path=xl/sharedStrings.xml><?xml version="1.0" encoding="utf-8"?>
<sst xmlns="http://schemas.openxmlformats.org/spreadsheetml/2006/main" count="1038" uniqueCount="155">
  <si>
    <t>DivID</t>
  </si>
  <si>
    <t>PROVINCE</t>
  </si>
  <si>
    <t>DISTRICT</t>
  </si>
  <si>
    <t>DIVISION</t>
  </si>
  <si>
    <t>COAST</t>
  </si>
  <si>
    <t>TANA RIVER</t>
  </si>
  <si>
    <t>TSAVO E  N .PARK</t>
  </si>
  <si>
    <t>RIFT VALLEY</t>
  </si>
  <si>
    <t>BARINGO</t>
  </si>
  <si>
    <t>BARTABWA</t>
  </si>
  <si>
    <t>BARWESA</t>
  </si>
  <si>
    <t>KABARNET</t>
  </si>
  <si>
    <t>KABARTONJO</t>
  </si>
  <si>
    <t>KIPSARAMAN</t>
  </si>
  <si>
    <t>KOLLOWA</t>
  </si>
  <si>
    <t>MOCHONGOI</t>
  </si>
  <si>
    <t>SALAWA</t>
  </si>
  <si>
    <t>NGINYANG</t>
  </si>
  <si>
    <t>MARIGAT</t>
  </si>
  <si>
    <t>TANGULBEI</t>
  </si>
  <si>
    <t>MUKUTANI</t>
  </si>
  <si>
    <t>SACHO</t>
  </si>
  <si>
    <t>TENGES</t>
  </si>
  <si>
    <t>NORTH EASTERN</t>
  </si>
  <si>
    <t>GARISSA</t>
  </si>
  <si>
    <t>BALAMBALA</t>
  </si>
  <si>
    <t>BENANE</t>
  </si>
  <si>
    <t>BURA GARISSA</t>
  </si>
  <si>
    <t>CENTRAL GARISSA</t>
  </si>
  <si>
    <t>SHANT-ABAK</t>
  </si>
  <si>
    <t>SANKURI</t>
  </si>
  <si>
    <t>DADAAB</t>
  </si>
  <si>
    <t>LIBOI</t>
  </si>
  <si>
    <t>MODOGASHE</t>
  </si>
  <si>
    <t>DANYERE</t>
  </si>
  <si>
    <t>JARAJILA</t>
  </si>
  <si>
    <t>IJARA</t>
  </si>
  <si>
    <t>HULUGHO</t>
  </si>
  <si>
    <t>MASALANI</t>
  </si>
  <si>
    <t>SANGAILU</t>
  </si>
  <si>
    <t>EASTERN</t>
  </si>
  <si>
    <t>ISIOLO</t>
  </si>
  <si>
    <t>CENTRAL ISIOLO</t>
  </si>
  <si>
    <t>GARBA TULLA</t>
  </si>
  <si>
    <t>KINNA</t>
  </si>
  <si>
    <t>MERTI</t>
  </si>
  <si>
    <t>SERICHO</t>
  </si>
  <si>
    <t>OLDONYIRO</t>
  </si>
  <si>
    <t>MANDERA</t>
  </si>
  <si>
    <t>ASHABITO</t>
  </si>
  <si>
    <t>BANISA</t>
  </si>
  <si>
    <t>CENTRAL MANDERA</t>
  </si>
  <si>
    <t>MARSABIT</t>
  </si>
  <si>
    <t>CENTRAL MARSABIT</t>
  </si>
  <si>
    <t>ELWAK</t>
  </si>
  <si>
    <t>FINO</t>
  </si>
  <si>
    <t>LOIYANGALANI</t>
  </si>
  <si>
    <t>NORTH HORR</t>
  </si>
  <si>
    <t>RHAMU</t>
  </si>
  <si>
    <t>LIBEHIA</t>
  </si>
  <si>
    <t>MALKAMARI</t>
  </si>
  <si>
    <t>LAISAMIS</t>
  </si>
  <si>
    <t>DANDU</t>
  </si>
  <si>
    <t>HARERI</t>
  </si>
  <si>
    <t>WARGADUD</t>
  </si>
  <si>
    <t>WARANKARA</t>
  </si>
  <si>
    <t>GADAMOJI</t>
  </si>
  <si>
    <t>KOTULO</t>
  </si>
  <si>
    <t>MAIKONA</t>
  </si>
  <si>
    <t>SHIMBIR FATUMA</t>
  </si>
  <si>
    <t>RHAMU DIMTU</t>
  </si>
  <si>
    <t>LAFEY</t>
  </si>
  <si>
    <t>KHALALIO</t>
  </si>
  <si>
    <t>TAKABA</t>
  </si>
  <si>
    <t>MOYALE</t>
  </si>
  <si>
    <t>CENTRAL MOYALE</t>
  </si>
  <si>
    <t>GOLBO</t>
  </si>
  <si>
    <t>URAN</t>
  </si>
  <si>
    <t>OBBU</t>
  </si>
  <si>
    <t>SAMBURU</t>
  </si>
  <si>
    <t>BARAGOI</t>
  </si>
  <si>
    <t>BANGALE</t>
  </si>
  <si>
    <t>BURA</t>
  </si>
  <si>
    <t>MADOGO</t>
  </si>
  <si>
    <t>TURKANA</t>
  </si>
  <si>
    <t>KAKUMA</t>
  </si>
  <si>
    <t>GALORE</t>
  </si>
  <si>
    <t>KALOKOL</t>
  </si>
  <si>
    <t>KERIO</t>
  </si>
  <si>
    <t>KAALING</t>
  </si>
  <si>
    <t>WASO</t>
  </si>
  <si>
    <t>WENJE</t>
  </si>
  <si>
    <t>KIPINI</t>
  </si>
  <si>
    <t>GARSEN</t>
  </si>
  <si>
    <t>WAMBA</t>
  </si>
  <si>
    <t>OROPOI</t>
  </si>
  <si>
    <t>NYIRO</t>
  </si>
  <si>
    <t>LORROKI</t>
  </si>
  <si>
    <t>LOMELO</t>
  </si>
  <si>
    <t>TURKWEL</t>
  </si>
  <si>
    <t>LOKORI</t>
  </si>
  <si>
    <t>LOKITAUNG</t>
  </si>
  <si>
    <t>LOKICHOGGIO</t>
  </si>
  <si>
    <t>LOIMA</t>
  </si>
  <si>
    <t>LAPUR</t>
  </si>
  <si>
    <t>LOKICHAR</t>
  </si>
  <si>
    <t>KIRISIA</t>
  </si>
  <si>
    <t>KIBISH</t>
  </si>
  <si>
    <t>CENTRAL TURKANA</t>
  </si>
  <si>
    <t>KAINUK</t>
  </si>
  <si>
    <t>KATILU</t>
  </si>
  <si>
    <t>WAJIR</t>
  </si>
  <si>
    <t>BUNA</t>
  </si>
  <si>
    <t>CENTRAL WAJIR</t>
  </si>
  <si>
    <t>BUTE</t>
  </si>
  <si>
    <t>WAJIR-BOR</t>
  </si>
  <si>
    <t>DIFF</t>
  </si>
  <si>
    <t>ELDAS</t>
  </si>
  <si>
    <t>GRIFTU</t>
  </si>
  <si>
    <t>GURAR</t>
  </si>
  <si>
    <t>TARBAJ</t>
  </si>
  <si>
    <t>HABASWEIN</t>
  </si>
  <si>
    <t>KOTULO WAJIR</t>
  </si>
  <si>
    <t>LAFALEY</t>
  </si>
  <si>
    <t>SEBULE</t>
  </si>
  <si>
    <t>HADADO</t>
  </si>
  <si>
    <t>Enter Mortality Trigger</t>
  </si>
  <si>
    <t>Estimated Mortality Index</t>
  </si>
  <si>
    <t>2) Thus, each fitted mortality is a function of its own X's and everyone elses, as mediated by the spatial filter (I - rho * W) ^ -1</t>
  </si>
  <si>
    <t>Rho</t>
  </si>
  <si>
    <t>Beta</t>
  </si>
  <si>
    <t>Model paramaters</t>
  </si>
  <si>
    <t>PreCZNDVI</t>
  </si>
  <si>
    <t>Post CZNDVI</t>
  </si>
  <si>
    <t>Intercept Matrix</t>
  </si>
  <si>
    <t>PreCZNDVI^2</t>
  </si>
  <si>
    <t>Post CZNDVI^2</t>
  </si>
  <si>
    <t>Xmatrix</t>
  </si>
  <si>
    <t>Weight Matrix</t>
  </si>
  <si>
    <t>3) Below are the variables and data for how to calculate indemnity based on contract specs. This spreadsheet is incorporated to the policy by reference.</t>
  </si>
  <si>
    <t>TLU's</t>
  </si>
  <si>
    <t>Price Protection (KSH)</t>
  </si>
  <si>
    <t>Indemnity (KSH)</t>
  </si>
  <si>
    <t>Sheet to calculate mortality function and indemnities for spatial model for given NDVI Realizations</t>
  </si>
  <si>
    <t>4) Enter Contract specs and calculate indemnities</t>
  </si>
  <si>
    <t>Enter Contract Specifications</t>
  </si>
  <si>
    <t>NDVI Realizations (Enter Actual pre and post values at settlement)</t>
  </si>
  <si>
    <t>1) Model is the following: y = (I - rho*W)^-1 * (X*B)+alpha</t>
  </si>
  <si>
    <t>SRSD10%</t>
  </si>
  <si>
    <t>SRSD15%</t>
  </si>
  <si>
    <t>LRLD10%</t>
  </si>
  <si>
    <t>LRLD15%</t>
  </si>
  <si>
    <t>w</t>
  </si>
  <si>
    <t>Total Rate Feb 2014 Offering 15%</t>
  </si>
  <si>
    <t>Total Rate Feb 2014 Offering 10%</t>
  </si>
</sst>
</file>

<file path=xl/styles.xml><?xml version="1.0" encoding="utf-8"?>
<styleSheet xmlns="http://schemas.openxmlformats.org/spreadsheetml/2006/main">
  <numFmts count="1">
    <numFmt numFmtId="164" formatCode="0.000%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76">
    <xf numFmtId="0" fontId="0" fillId="0" borderId="0" xfId="0"/>
    <xf numFmtId="0" fontId="0" fillId="0" borderId="0" xfId="0" applyFill="1"/>
    <xf numFmtId="0" fontId="1" fillId="0" borderId="0" xfId="0" applyFont="1"/>
    <xf numFmtId="0" fontId="0" fillId="0" borderId="0" xfId="0" applyBorder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3" fillId="0" borderId="0" xfId="0" applyFont="1"/>
    <xf numFmtId="0" fontId="0" fillId="4" borderId="6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0" borderId="13" xfId="0" applyBorder="1"/>
    <xf numFmtId="0" fontId="1" fillId="0" borderId="6" xfId="0" applyFont="1" applyBorder="1"/>
    <xf numFmtId="0" fontId="1" fillId="0" borderId="8" xfId="0" applyFont="1" applyBorder="1"/>
    <xf numFmtId="0" fontId="0" fillId="0" borderId="14" xfId="0" applyBorder="1"/>
    <xf numFmtId="0" fontId="1" fillId="0" borderId="0" xfId="0" applyFont="1" applyFill="1" applyBorder="1"/>
    <xf numFmtId="9" fontId="0" fillId="0" borderId="0" xfId="0" applyNumberFormat="1" applyFill="1" applyBorder="1"/>
    <xf numFmtId="164" fontId="0" fillId="0" borderId="0" xfId="0" applyNumberFormat="1" applyFill="1" applyBorder="1"/>
    <xf numFmtId="0" fontId="1" fillId="0" borderId="13" xfId="0" applyFont="1" applyBorder="1"/>
    <xf numFmtId="10" fontId="0" fillId="5" borderId="13" xfId="1" applyNumberFormat="1" applyFont="1" applyFill="1" applyBorder="1"/>
    <xf numFmtId="10" fontId="0" fillId="5" borderId="1" xfId="1" applyNumberFormat="1" applyFont="1" applyFill="1" applyBorder="1"/>
    <xf numFmtId="10" fontId="0" fillId="5" borderId="3" xfId="1" applyNumberFormat="1" applyFont="1" applyFill="1" applyBorder="1"/>
    <xf numFmtId="0" fontId="0" fillId="0" borderId="0" xfId="0" applyAlignment="1">
      <alignment horizontal="right"/>
    </xf>
    <xf numFmtId="0" fontId="1" fillId="0" borderId="15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4" fontId="0" fillId="0" borderId="0" xfId="0" applyNumberFormat="1"/>
    <xf numFmtId="4" fontId="0" fillId="5" borderId="9" xfId="0" applyNumberFormat="1" applyFill="1" applyBorder="1"/>
    <xf numFmtId="4" fontId="0" fillId="5" borderId="10" xfId="0" applyNumberFormat="1" applyFill="1" applyBorder="1"/>
    <xf numFmtId="4" fontId="0" fillId="5" borderId="11" xfId="0" applyNumberFormat="1" applyFill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7" xfId="0" applyFont="1" applyBorder="1"/>
    <xf numFmtId="0" fontId="1" fillId="0" borderId="3" xfId="0" applyFont="1" applyFill="1" applyBorder="1"/>
    <xf numFmtId="0" fontId="1" fillId="0" borderId="6" xfId="0" applyFont="1" applyFill="1" applyBorder="1"/>
    <xf numFmtId="9" fontId="0" fillId="2" borderId="9" xfId="0" applyNumberFormat="1" applyFill="1" applyBorder="1"/>
    <xf numFmtId="4" fontId="0" fillId="2" borderId="12" xfId="0" applyNumberFormat="1" applyFill="1" applyBorder="1"/>
    <xf numFmtId="0" fontId="0" fillId="2" borderId="11" xfId="0" applyFill="1" applyBorder="1"/>
    <xf numFmtId="2" fontId="0" fillId="6" borderId="0" xfId="0" applyNumberFormat="1" applyFill="1" applyBorder="1"/>
    <xf numFmtId="2" fontId="0" fillId="6" borderId="4" xfId="0" applyNumberFormat="1" applyFill="1" applyBorder="1"/>
    <xf numFmtId="0" fontId="0" fillId="6" borderId="1" xfId="0" applyFill="1" applyBorder="1"/>
    <xf numFmtId="0" fontId="0" fillId="3" borderId="13" xfId="0" applyFill="1" applyBorder="1"/>
    <xf numFmtId="0" fontId="0" fillId="3" borderId="1" xfId="0" applyFill="1" applyBorder="1"/>
    <xf numFmtId="11" fontId="0" fillId="3" borderId="1" xfId="0" applyNumberFormat="1" applyFill="1" applyBorder="1"/>
    <xf numFmtId="0" fontId="0" fillId="3" borderId="3" xfId="0" applyFill="1" applyBorder="1"/>
    <xf numFmtId="0" fontId="0" fillId="2" borderId="9" xfId="0" applyFill="1" applyBorder="1"/>
    <xf numFmtId="0" fontId="0" fillId="2" borderId="10" xfId="0" applyFill="1" applyBorder="1"/>
    <xf numFmtId="0" fontId="0" fillId="0" borderId="0" xfId="0" applyFont="1" applyBorder="1"/>
    <xf numFmtId="10" fontId="0" fillId="0" borderId="0" xfId="1" applyNumberFormat="1" applyFont="1" applyBorder="1"/>
    <xf numFmtId="10" fontId="1" fillId="0" borderId="0" xfId="1" applyNumberFormat="1" applyFont="1" applyBorder="1"/>
    <xf numFmtId="10" fontId="0" fillId="0" borderId="14" xfId="1" applyNumberFormat="1" applyFont="1" applyBorder="1"/>
    <xf numFmtId="10" fontId="1" fillId="0" borderId="14" xfId="1" applyNumberFormat="1" applyFont="1" applyBorder="1"/>
    <xf numFmtId="10" fontId="1" fillId="0" borderId="15" xfId="1" applyNumberFormat="1" applyFont="1" applyBorder="1"/>
    <xf numFmtId="10" fontId="1" fillId="0" borderId="2" xfId="1" applyNumberFormat="1" applyFont="1" applyBorder="1"/>
    <xf numFmtId="0" fontId="0" fillId="0" borderId="1" xfId="0" applyFont="1" applyBorder="1"/>
    <xf numFmtId="0" fontId="0" fillId="0" borderId="4" xfId="0" applyBorder="1"/>
    <xf numFmtId="10" fontId="0" fillId="0" borderId="4" xfId="1" applyNumberFormat="1" applyFont="1" applyBorder="1"/>
    <xf numFmtId="10" fontId="1" fillId="0" borderId="4" xfId="1" applyNumberFormat="1" applyFont="1" applyBorder="1"/>
    <xf numFmtId="10" fontId="1" fillId="0" borderId="5" xfId="1" applyNumberFormat="1" applyFont="1" applyBorder="1"/>
    <xf numFmtId="0" fontId="0" fillId="6" borderId="0" xfId="0" applyFill="1"/>
    <xf numFmtId="10" fontId="0" fillId="0" borderId="0" xfId="1" applyNumberFormat="1" applyFont="1"/>
    <xf numFmtId="11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lineChart>
        <c:grouping val="standard"/>
        <c:ser>
          <c:idx val="0"/>
          <c:order val="0"/>
          <c:tx>
            <c:strRef>
              <c:f>MortalityCalculationLRLD2014!$E$15</c:f>
              <c:strCache>
                <c:ptCount val="1"/>
                <c:pt idx="0">
                  <c:v>Estimated Mortality Index</c:v>
                </c:pt>
              </c:strCache>
            </c:strRef>
          </c:tx>
          <c:marker>
            <c:symbol val="none"/>
          </c:marker>
          <c:val>
            <c:numRef>
              <c:f>MortalityCalculationLRLD2014!$E$16:$E$123</c:f>
              <c:numCache>
                <c:formatCode>0.00%</c:formatCode>
                <c:ptCount val="108"/>
                <c:pt idx="0">
                  <c:v>0.16233411884303461</c:v>
                </c:pt>
                <c:pt idx="1">
                  <c:v>0.16974399332694709</c:v>
                </c:pt>
                <c:pt idx="2">
                  <c:v>0.16707195914411022</c:v>
                </c:pt>
                <c:pt idx="3">
                  <c:v>0.16790892815927921</c:v>
                </c:pt>
                <c:pt idx="4">
                  <c:v>0.16490816616808893</c:v>
                </c:pt>
                <c:pt idx="5">
                  <c:v>0.17028950902174048</c:v>
                </c:pt>
                <c:pt idx="6">
                  <c:v>0.17314367177060747</c:v>
                </c:pt>
                <c:pt idx="7">
                  <c:v>0.16947139166372868</c:v>
                </c:pt>
                <c:pt idx="8">
                  <c:v>0.1622389655856494</c:v>
                </c:pt>
                <c:pt idx="9">
                  <c:v>0.16377270516205863</c:v>
                </c:pt>
                <c:pt idx="10">
                  <c:v>0.16908474917770902</c:v>
                </c:pt>
                <c:pt idx="11">
                  <c:v>0.17188151295103363</c:v>
                </c:pt>
                <c:pt idx="12">
                  <c:v>0.16369097059143917</c:v>
                </c:pt>
                <c:pt idx="13">
                  <c:v>0.16312310383058237</c:v>
                </c:pt>
                <c:pt idx="14">
                  <c:v>0.19018318742916404</c:v>
                </c:pt>
                <c:pt idx="15">
                  <c:v>0.20569956637266523</c:v>
                </c:pt>
                <c:pt idx="16">
                  <c:v>0.21411110162673846</c:v>
                </c:pt>
                <c:pt idx="17">
                  <c:v>0.21220410302723658</c:v>
                </c:pt>
                <c:pt idx="18">
                  <c:v>0.1973755871335173</c:v>
                </c:pt>
                <c:pt idx="19">
                  <c:v>0.22133507147699802</c:v>
                </c:pt>
                <c:pt idx="20">
                  <c:v>0.21446409087811699</c:v>
                </c:pt>
                <c:pt idx="21">
                  <c:v>0.1942405803483275</c:v>
                </c:pt>
                <c:pt idx="22">
                  <c:v>0.20524265309911022</c:v>
                </c:pt>
                <c:pt idx="23">
                  <c:v>0.19803423341142068</c:v>
                </c:pt>
                <c:pt idx="24">
                  <c:v>0.21250481222577564</c:v>
                </c:pt>
                <c:pt idx="25">
                  <c:v>0.28572098256728196</c:v>
                </c:pt>
                <c:pt idx="26">
                  <c:v>0.29628417173814031</c:v>
                </c:pt>
                <c:pt idx="27">
                  <c:v>0.25954806054720558</c:v>
                </c:pt>
                <c:pt idx="28">
                  <c:v>0.28800585012073293</c:v>
                </c:pt>
                <c:pt idx="29">
                  <c:v>0.12937322367468604</c:v>
                </c:pt>
                <c:pt idx="30">
                  <c:v>0.13871633632504221</c:v>
                </c:pt>
                <c:pt idx="31">
                  <c:v>0.1290006928723276</c:v>
                </c:pt>
                <c:pt idx="32">
                  <c:v>0.13512150737237577</c:v>
                </c:pt>
                <c:pt idx="33">
                  <c:v>0.15270270372798955</c:v>
                </c:pt>
                <c:pt idx="34">
                  <c:v>0.12282291068714973</c:v>
                </c:pt>
                <c:pt idx="35">
                  <c:v>0.16396262994461747</c:v>
                </c:pt>
                <c:pt idx="36">
                  <c:v>0.15284199560894771</c:v>
                </c:pt>
                <c:pt idx="37">
                  <c:v>0.17318825768265028</c:v>
                </c:pt>
                <c:pt idx="38">
                  <c:v>0.16641154921924642</c:v>
                </c:pt>
                <c:pt idx="39">
                  <c:v>0.17225121607744695</c:v>
                </c:pt>
                <c:pt idx="40">
                  <c:v>0.18765548223727188</c:v>
                </c:pt>
                <c:pt idx="41">
                  <c:v>0.16690816493263347</c:v>
                </c:pt>
                <c:pt idx="42">
                  <c:v>0.15428404066346363</c:v>
                </c:pt>
                <c:pt idx="43">
                  <c:v>0.16031284154319536</c:v>
                </c:pt>
                <c:pt idx="44">
                  <c:v>0.17339363420514189</c:v>
                </c:pt>
                <c:pt idx="45">
                  <c:v>0.15677326570384348</c:v>
                </c:pt>
                <c:pt idx="46">
                  <c:v>0.16127850076015696</c:v>
                </c:pt>
                <c:pt idx="47">
                  <c:v>0.16605492127926177</c:v>
                </c:pt>
                <c:pt idx="48">
                  <c:v>0.1610149969576935</c:v>
                </c:pt>
                <c:pt idx="49">
                  <c:v>0.16642061833874605</c:v>
                </c:pt>
                <c:pt idx="50">
                  <c:v>0.17404440915773617</c:v>
                </c:pt>
                <c:pt idx="51">
                  <c:v>0.1703164839040649</c:v>
                </c:pt>
                <c:pt idx="52">
                  <c:v>0.16042198983804737</c:v>
                </c:pt>
                <c:pt idx="53">
                  <c:v>3.7855334927791487E-2</c:v>
                </c:pt>
                <c:pt idx="54">
                  <c:v>7.2371065005215202E-2</c:v>
                </c:pt>
                <c:pt idx="55">
                  <c:v>9.3642128972737076E-2</c:v>
                </c:pt>
                <c:pt idx="56">
                  <c:v>6.6669327252080288E-2</c:v>
                </c:pt>
                <c:pt idx="57">
                  <c:v>3.3384938228132946E-2</c:v>
                </c:pt>
                <c:pt idx="58">
                  <c:v>7.4407874572227917E-2</c:v>
                </c:pt>
                <c:pt idx="59">
                  <c:v>0.14218766166553423</c:v>
                </c:pt>
                <c:pt idx="60">
                  <c:v>8.185878860819952E-2</c:v>
                </c:pt>
                <c:pt idx="61">
                  <c:v>0.1010603123894749</c:v>
                </c:pt>
                <c:pt idx="62">
                  <c:v>0.10539946758147044</c:v>
                </c:pt>
                <c:pt idx="63">
                  <c:v>0.11369878910051</c:v>
                </c:pt>
                <c:pt idx="64">
                  <c:v>0.10167210236187964</c:v>
                </c:pt>
                <c:pt idx="65">
                  <c:v>9.9098610173540075E-2</c:v>
                </c:pt>
                <c:pt idx="66">
                  <c:v>0.11399481253646028</c:v>
                </c:pt>
                <c:pt idx="67">
                  <c:v>0.11490605562362959</c:v>
                </c:pt>
                <c:pt idx="68">
                  <c:v>0.11724543371372069</c:v>
                </c:pt>
                <c:pt idx="69">
                  <c:v>9.01442826319451E-2</c:v>
                </c:pt>
                <c:pt idx="70">
                  <c:v>9.5377033604598566E-2</c:v>
                </c:pt>
                <c:pt idx="71">
                  <c:v>0.1005404561551579</c:v>
                </c:pt>
                <c:pt idx="72">
                  <c:v>0.1007512403106085</c:v>
                </c:pt>
                <c:pt idx="73">
                  <c:v>0.10591713892010546</c:v>
                </c:pt>
                <c:pt idx="74">
                  <c:v>9.1060267472456935E-2</c:v>
                </c:pt>
                <c:pt idx="75">
                  <c:v>7.2130201644684311E-2</c:v>
                </c:pt>
                <c:pt idx="76">
                  <c:v>0.10672823577101562</c:v>
                </c:pt>
                <c:pt idx="77">
                  <c:v>0.18441468806310313</c:v>
                </c:pt>
                <c:pt idx="78">
                  <c:v>0.1898155878103801</c:v>
                </c:pt>
                <c:pt idx="79">
                  <c:v>0.19072642373431448</c:v>
                </c:pt>
                <c:pt idx="80">
                  <c:v>0.17950607121084763</c:v>
                </c:pt>
                <c:pt idx="81">
                  <c:v>0.19071357783672832</c:v>
                </c:pt>
                <c:pt idx="82">
                  <c:v>0.18738324476803422</c:v>
                </c:pt>
                <c:pt idx="83">
                  <c:v>0.18831499428585952</c:v>
                </c:pt>
                <c:pt idx="84">
                  <c:v>0.1925861046228543</c:v>
                </c:pt>
                <c:pt idx="85">
                  <c:v>0.17618238402703507</c:v>
                </c:pt>
                <c:pt idx="86">
                  <c:v>0.19306265130861072</c:v>
                </c:pt>
                <c:pt idx="87">
                  <c:v>0.20734222408307265</c:v>
                </c:pt>
                <c:pt idx="88">
                  <c:v>0.18079307007321918</c:v>
                </c:pt>
                <c:pt idx="89">
                  <c:v>0.18394519557233871</c:v>
                </c:pt>
                <c:pt idx="90">
                  <c:v>0.18466381530268836</c:v>
                </c:pt>
                <c:pt idx="91">
                  <c:v>0.1885236634556999</c:v>
                </c:pt>
                <c:pt idx="92">
                  <c:v>0.20807391280854348</c:v>
                </c:pt>
                <c:pt idx="93">
                  <c:v>0.19132729670008267</c:v>
                </c:pt>
                <c:pt idx="94">
                  <c:v>8.1601724687483182E-2</c:v>
                </c:pt>
                <c:pt idx="95">
                  <c:v>9.2953830802899956E-2</c:v>
                </c:pt>
                <c:pt idx="96">
                  <c:v>8.1953761770448441E-2</c:v>
                </c:pt>
                <c:pt idx="97">
                  <c:v>0.10015968667069071</c:v>
                </c:pt>
                <c:pt idx="98">
                  <c:v>0.10424563486122868</c:v>
                </c:pt>
                <c:pt idx="99">
                  <c:v>8.1311447765089889E-2</c:v>
                </c:pt>
                <c:pt idx="100">
                  <c:v>9.9526669711580057E-2</c:v>
                </c:pt>
                <c:pt idx="101">
                  <c:v>7.8145249332187694E-2</c:v>
                </c:pt>
                <c:pt idx="102">
                  <c:v>8.8450369407396895E-2</c:v>
                </c:pt>
                <c:pt idx="103">
                  <c:v>8.7212506074037521E-2</c:v>
                </c:pt>
                <c:pt idx="104">
                  <c:v>9.1131450130451153E-2</c:v>
                </c:pt>
                <c:pt idx="105">
                  <c:v>9.4829921936444378E-2</c:v>
                </c:pt>
                <c:pt idx="106">
                  <c:v>6.9649507488217147E-2</c:v>
                </c:pt>
                <c:pt idx="107">
                  <c:v>0.10495968770718245</c:v>
                </c:pt>
              </c:numCache>
            </c:numRef>
          </c:val>
        </c:ser>
        <c:marker val="1"/>
        <c:axId val="112031616"/>
        <c:axId val="112033152"/>
      </c:lineChart>
      <c:catAx>
        <c:axId val="112031616"/>
        <c:scaling>
          <c:orientation val="minMax"/>
        </c:scaling>
        <c:axPos val="b"/>
        <c:tickLblPos val="nextTo"/>
        <c:crossAx val="112033152"/>
        <c:crosses val="autoZero"/>
        <c:auto val="1"/>
        <c:lblAlgn val="ctr"/>
        <c:lblOffset val="100"/>
      </c:catAx>
      <c:valAx>
        <c:axId val="112033152"/>
        <c:scaling>
          <c:orientation val="minMax"/>
        </c:scaling>
        <c:axPos val="l"/>
        <c:majorGridlines/>
        <c:numFmt formatCode="0.00%" sourceLinked="1"/>
        <c:tickLblPos val="nextTo"/>
        <c:crossAx val="1120316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lineChart>
        <c:grouping val="standard"/>
        <c:ser>
          <c:idx val="0"/>
          <c:order val="0"/>
          <c:tx>
            <c:strRef>
              <c:f>MortalityCalculationSRSD2014!$E$15</c:f>
              <c:strCache>
                <c:ptCount val="1"/>
                <c:pt idx="0">
                  <c:v>Estimated Mortality Index</c:v>
                </c:pt>
              </c:strCache>
            </c:strRef>
          </c:tx>
          <c:marker>
            <c:symbol val="none"/>
          </c:marker>
          <c:val>
            <c:numRef>
              <c:f>MortalityCalculationSRSD2014!$E$16:$E$123</c:f>
              <c:numCache>
                <c:formatCode>0.00%</c:formatCode>
                <c:ptCount val="108"/>
                <c:pt idx="0">
                  <c:v>0.14262684563381001</c:v>
                </c:pt>
                <c:pt idx="1">
                  <c:v>0.13425875599054393</c:v>
                </c:pt>
                <c:pt idx="2">
                  <c:v>0.14297383251205847</c:v>
                </c:pt>
                <c:pt idx="3">
                  <c:v>0.1480576326104292</c:v>
                </c:pt>
                <c:pt idx="4">
                  <c:v>0.1409318909533922</c:v>
                </c:pt>
                <c:pt idx="5">
                  <c:v>0.14304386299982058</c:v>
                </c:pt>
                <c:pt idx="6">
                  <c:v>0.14205257227942397</c:v>
                </c:pt>
                <c:pt idx="7">
                  <c:v>0.13177353441530346</c:v>
                </c:pt>
                <c:pt idx="8">
                  <c:v>0.14287732931893041</c:v>
                </c:pt>
                <c:pt idx="9">
                  <c:v>0.14026151392699668</c:v>
                </c:pt>
                <c:pt idx="10">
                  <c:v>0.13310076321445435</c:v>
                </c:pt>
                <c:pt idx="11">
                  <c:v>0.13633378455984005</c:v>
                </c:pt>
                <c:pt idx="12">
                  <c:v>0.13922868503007252</c:v>
                </c:pt>
                <c:pt idx="13">
                  <c:v>0.1409979096544996</c:v>
                </c:pt>
                <c:pt idx="14">
                  <c:v>0.15968905237478448</c:v>
                </c:pt>
                <c:pt idx="15">
                  <c:v>0.14649366444664674</c:v>
                </c:pt>
                <c:pt idx="16">
                  <c:v>0.16151337233344659</c:v>
                </c:pt>
                <c:pt idx="17">
                  <c:v>0.15709688059491528</c:v>
                </c:pt>
                <c:pt idx="18">
                  <c:v>0.1619923767168438</c:v>
                </c:pt>
                <c:pt idx="19">
                  <c:v>0.15906066693909282</c:v>
                </c:pt>
                <c:pt idx="20">
                  <c:v>0.16261585793677094</c:v>
                </c:pt>
                <c:pt idx="21">
                  <c:v>0.15910528937088086</c:v>
                </c:pt>
                <c:pt idx="22">
                  <c:v>0.15673499644700561</c:v>
                </c:pt>
                <c:pt idx="23">
                  <c:v>0.15094791592426998</c:v>
                </c:pt>
                <c:pt idx="24">
                  <c:v>0.16290557131042199</c:v>
                </c:pt>
                <c:pt idx="25">
                  <c:v>0.14657982184000887</c:v>
                </c:pt>
                <c:pt idx="26">
                  <c:v>0.14786015576006251</c:v>
                </c:pt>
                <c:pt idx="27">
                  <c:v>0.1404793792082028</c:v>
                </c:pt>
                <c:pt idx="28">
                  <c:v>0.14751239345667061</c:v>
                </c:pt>
                <c:pt idx="29">
                  <c:v>7.5186681070409933E-2</c:v>
                </c:pt>
                <c:pt idx="30">
                  <c:v>9.8906501363953264E-2</c:v>
                </c:pt>
                <c:pt idx="31">
                  <c:v>8.9153889852289503E-2</c:v>
                </c:pt>
                <c:pt idx="32">
                  <c:v>0.11199818737294567</c:v>
                </c:pt>
                <c:pt idx="33">
                  <c:v>0.11484245372344282</c:v>
                </c:pt>
                <c:pt idx="34">
                  <c:v>7.8573928710932731E-2</c:v>
                </c:pt>
                <c:pt idx="35">
                  <c:v>0.129124174252674</c:v>
                </c:pt>
                <c:pt idx="36">
                  <c:v>0.12888809253814318</c:v>
                </c:pt>
                <c:pt idx="37">
                  <c:v>0.12922537799894016</c:v>
                </c:pt>
                <c:pt idx="38">
                  <c:v>0.12883155055938389</c:v>
                </c:pt>
                <c:pt idx="39">
                  <c:v>0.12922380640920117</c:v>
                </c:pt>
                <c:pt idx="40">
                  <c:v>0.12921856173196297</c:v>
                </c:pt>
                <c:pt idx="41">
                  <c:v>0.12922508581288278</c:v>
                </c:pt>
                <c:pt idx="42">
                  <c:v>0.12919832860499025</c:v>
                </c:pt>
                <c:pt idx="43">
                  <c:v>0.12578971226577154</c:v>
                </c:pt>
                <c:pt idx="44">
                  <c:v>0.12922170579155479</c:v>
                </c:pt>
                <c:pt idx="45">
                  <c:v>0.12902110414500953</c:v>
                </c:pt>
                <c:pt idx="46">
                  <c:v>0.12921309840270129</c:v>
                </c:pt>
                <c:pt idx="47">
                  <c:v>0.12314891780896813</c:v>
                </c:pt>
                <c:pt idx="48">
                  <c:v>0.12687490872680096</c:v>
                </c:pt>
                <c:pt idx="49">
                  <c:v>0.12921722501182037</c:v>
                </c:pt>
                <c:pt idx="50">
                  <c:v>0.12919758128474793</c:v>
                </c:pt>
                <c:pt idx="51">
                  <c:v>0.12922516495050923</c:v>
                </c:pt>
                <c:pt idx="52">
                  <c:v>0.12537335093608312</c:v>
                </c:pt>
                <c:pt idx="53">
                  <c:v>5.6276768381458175E-2</c:v>
                </c:pt>
                <c:pt idx="54">
                  <c:v>9.6164663531526001E-2</c:v>
                </c:pt>
                <c:pt idx="55">
                  <c:v>7.798206522543237E-2</c:v>
                </c:pt>
                <c:pt idx="56">
                  <c:v>6.0906722227602891E-2</c:v>
                </c:pt>
                <c:pt idx="57">
                  <c:v>5.6020539952805176E-2</c:v>
                </c:pt>
                <c:pt idx="58">
                  <c:v>9.6499859713926397E-2</c:v>
                </c:pt>
                <c:pt idx="59">
                  <c:v>0.10046473450945194</c:v>
                </c:pt>
                <c:pt idx="60">
                  <c:v>8.8233229844620092E-2</c:v>
                </c:pt>
                <c:pt idx="61">
                  <c:v>9.5081397297534204E-2</c:v>
                </c:pt>
                <c:pt idx="62">
                  <c:v>8.9871224496402127E-2</c:v>
                </c:pt>
                <c:pt idx="63">
                  <c:v>0.15645167335261576</c:v>
                </c:pt>
                <c:pt idx="64">
                  <c:v>0.11054934527612668</c:v>
                </c:pt>
                <c:pt idx="65">
                  <c:v>0.15112214649310268</c:v>
                </c:pt>
                <c:pt idx="66">
                  <c:v>0.15069529877464383</c:v>
                </c:pt>
                <c:pt idx="67">
                  <c:v>0.11377717393201085</c:v>
                </c:pt>
                <c:pt idx="68">
                  <c:v>0.14632665380199639</c:v>
                </c:pt>
                <c:pt idx="69">
                  <c:v>0.1579877193676964</c:v>
                </c:pt>
                <c:pt idx="70">
                  <c:v>0.15643405054092063</c:v>
                </c:pt>
                <c:pt idx="71">
                  <c:v>0.15968657630984762</c:v>
                </c:pt>
                <c:pt idx="72">
                  <c:v>0.16002905819979041</c:v>
                </c:pt>
                <c:pt idx="73">
                  <c:v>0.16541810447359953</c:v>
                </c:pt>
                <c:pt idx="74">
                  <c:v>0.15707980580129657</c:v>
                </c:pt>
                <c:pt idx="75">
                  <c:v>0.15863387491154779</c:v>
                </c:pt>
                <c:pt idx="76">
                  <c:v>0.16163339613650418</c:v>
                </c:pt>
                <c:pt idx="77">
                  <c:v>0.15517495832401099</c:v>
                </c:pt>
                <c:pt idx="78">
                  <c:v>0.15562460121417487</c:v>
                </c:pt>
                <c:pt idx="79">
                  <c:v>0.15968850395729908</c:v>
                </c:pt>
                <c:pt idx="80">
                  <c:v>0.1556112022641313</c:v>
                </c:pt>
                <c:pt idx="81">
                  <c:v>0.15548953512701078</c:v>
                </c:pt>
                <c:pt idx="82">
                  <c:v>0.16420391918051605</c:v>
                </c:pt>
                <c:pt idx="83">
                  <c:v>0.15690630736568223</c:v>
                </c:pt>
                <c:pt idx="84">
                  <c:v>0.15959980224487913</c:v>
                </c:pt>
                <c:pt idx="85">
                  <c:v>0.15513728985106581</c:v>
                </c:pt>
                <c:pt idx="86">
                  <c:v>0.1544126724676432</c:v>
                </c:pt>
                <c:pt idx="87">
                  <c:v>0.15419132132184218</c:v>
                </c:pt>
                <c:pt idx="88">
                  <c:v>0.1550040300078831</c:v>
                </c:pt>
                <c:pt idx="89">
                  <c:v>0.16027080729220344</c:v>
                </c:pt>
                <c:pt idx="90">
                  <c:v>0.15247921490657693</c:v>
                </c:pt>
                <c:pt idx="91">
                  <c:v>0.15733636759352959</c:v>
                </c:pt>
                <c:pt idx="92">
                  <c:v>0.15384194241458324</c:v>
                </c:pt>
                <c:pt idx="93">
                  <c:v>0.15559364073514317</c:v>
                </c:pt>
                <c:pt idx="94">
                  <c:v>0.10482773279065216</c:v>
                </c:pt>
                <c:pt idx="95">
                  <c:v>0.10364035324024055</c:v>
                </c:pt>
                <c:pt idx="96">
                  <c:v>0.10419339785068132</c:v>
                </c:pt>
                <c:pt idx="97">
                  <c:v>0.10640433906960486</c:v>
                </c:pt>
                <c:pt idx="98">
                  <c:v>0.10507257659381403</c:v>
                </c:pt>
                <c:pt idx="99">
                  <c:v>0.10828833952335293</c:v>
                </c:pt>
                <c:pt idx="100">
                  <c:v>0.10469755159777899</c:v>
                </c:pt>
                <c:pt idx="101">
                  <c:v>0.1046600085924604</c:v>
                </c:pt>
                <c:pt idx="102">
                  <c:v>0.10562269714777392</c:v>
                </c:pt>
                <c:pt idx="103">
                  <c:v>0.10403059959641583</c:v>
                </c:pt>
                <c:pt idx="104">
                  <c:v>0.10585822641382577</c:v>
                </c:pt>
                <c:pt idx="105">
                  <c:v>0.10594947941821928</c:v>
                </c:pt>
                <c:pt idx="106">
                  <c:v>0.10282023172305428</c:v>
                </c:pt>
                <c:pt idx="107">
                  <c:v>0.10579898983471392</c:v>
                </c:pt>
              </c:numCache>
            </c:numRef>
          </c:val>
        </c:ser>
        <c:marker val="1"/>
        <c:axId val="112885760"/>
        <c:axId val="112887296"/>
      </c:lineChart>
      <c:catAx>
        <c:axId val="112885760"/>
        <c:scaling>
          <c:orientation val="minMax"/>
        </c:scaling>
        <c:axPos val="b"/>
        <c:tickLblPos val="nextTo"/>
        <c:crossAx val="112887296"/>
        <c:crosses val="autoZero"/>
        <c:auto val="1"/>
        <c:lblAlgn val="ctr"/>
        <c:lblOffset val="100"/>
      </c:catAx>
      <c:valAx>
        <c:axId val="112887296"/>
        <c:scaling>
          <c:orientation val="minMax"/>
        </c:scaling>
        <c:axPos val="l"/>
        <c:majorGridlines/>
        <c:numFmt formatCode="0.00%" sourceLinked="1"/>
        <c:tickLblPos val="nextTo"/>
        <c:crossAx val="1128857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600075</xdr:colOff>
      <xdr:row>0</xdr:row>
      <xdr:rowOff>0</xdr:rowOff>
    </xdr:from>
    <xdr:to>
      <xdr:col>16</xdr:col>
      <xdr:colOff>409575</xdr:colOff>
      <xdr:row>12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600075</xdr:colOff>
      <xdr:row>0</xdr:row>
      <xdr:rowOff>0</xdr:rowOff>
    </xdr:from>
    <xdr:to>
      <xdr:col>16</xdr:col>
      <xdr:colOff>409575</xdr:colOff>
      <xdr:row>12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/>
  <dimension ref="A1:CK529"/>
  <sheetViews>
    <sheetView workbookViewId="0">
      <selection activeCell="H23" sqref="H23"/>
    </sheetView>
  </sheetViews>
  <sheetFormatPr defaultRowHeight="15"/>
  <cols>
    <col min="1" max="1" width="23.140625" customWidth="1"/>
    <col min="2" max="2" width="11.5703125" bestFit="1" customWidth="1"/>
    <col min="3" max="3" width="18.7109375" bestFit="1" customWidth="1"/>
    <col min="4" max="4" width="9.85546875" customWidth="1"/>
    <col min="5" max="5" width="24.42578125" customWidth="1"/>
    <col min="6" max="6" width="24.28515625" customWidth="1"/>
    <col min="10" max="11" width="10.7109375" bestFit="1" customWidth="1"/>
    <col min="12" max="12" width="12.7109375" bestFit="1" customWidth="1"/>
    <col min="13" max="13" width="12" bestFit="1" customWidth="1"/>
    <col min="14" max="14" width="14.140625" bestFit="1" customWidth="1"/>
    <col min="17" max="17" width="11.5703125" customWidth="1"/>
    <col min="18" max="18" width="13" customWidth="1"/>
  </cols>
  <sheetData>
    <row r="1" spans="1:89">
      <c r="A1" s="2" t="s">
        <v>143</v>
      </c>
    </row>
    <row r="2" spans="1:89">
      <c r="A2" s="2" t="s">
        <v>147</v>
      </c>
    </row>
    <row r="3" spans="1:89">
      <c r="A3" s="2" t="s">
        <v>128</v>
      </c>
    </row>
    <row r="4" spans="1:89">
      <c r="A4" s="2" t="s">
        <v>139</v>
      </c>
    </row>
    <row r="5" spans="1:89">
      <c r="A5" s="2" t="s">
        <v>144</v>
      </c>
    </row>
    <row r="7" spans="1:89" ht="15.75" thickBot="1">
      <c r="A7" s="4" t="s">
        <v>145</v>
      </c>
      <c r="F7" s="27"/>
    </row>
    <row r="8" spans="1:89" ht="15.75" thickBot="1">
      <c r="A8" s="29" t="s">
        <v>126</v>
      </c>
      <c r="B8" s="49">
        <v>0.15</v>
      </c>
      <c r="F8" s="1"/>
    </row>
    <row r="9" spans="1:89" ht="15.75" thickBot="1">
      <c r="A9" s="48" t="s">
        <v>141</v>
      </c>
      <c r="B9" s="50">
        <v>15000</v>
      </c>
      <c r="F9" s="1"/>
    </row>
    <row r="10" spans="1:89" ht="15.75" thickBot="1">
      <c r="A10" s="47" t="s">
        <v>140</v>
      </c>
      <c r="B10" s="51">
        <v>10</v>
      </c>
      <c r="D10" s="26"/>
      <c r="E10" s="36"/>
      <c r="F10" s="1"/>
    </row>
    <row r="11" spans="1:89">
      <c r="D11" s="26"/>
      <c r="E11" s="36"/>
      <c r="F11" s="1"/>
    </row>
    <row r="12" spans="1:89">
      <c r="F12" s="1"/>
    </row>
    <row r="13" spans="1:89" ht="15.75" thickBot="1">
      <c r="D13" s="26"/>
      <c r="E13" s="28"/>
      <c r="F13" s="28"/>
    </row>
    <row r="14" spans="1:89" ht="15.75" thickBot="1">
      <c r="E14" s="33"/>
      <c r="F14" s="33"/>
      <c r="J14" s="23" t="s">
        <v>146</v>
      </c>
      <c r="K14" s="9"/>
      <c r="L14" s="9"/>
      <c r="M14" s="9"/>
      <c r="N14" s="10"/>
      <c r="P14" s="11" t="s">
        <v>131</v>
      </c>
    </row>
    <row r="15" spans="1:89" ht="15.75" thickBot="1">
      <c r="A15" s="23" t="s">
        <v>1</v>
      </c>
      <c r="B15" s="46" t="s">
        <v>2</v>
      </c>
      <c r="C15" s="24" t="s">
        <v>3</v>
      </c>
      <c r="D15" s="29" t="s">
        <v>0</v>
      </c>
      <c r="E15" s="34" t="s">
        <v>127</v>
      </c>
      <c r="F15" s="35" t="s">
        <v>142</v>
      </c>
      <c r="J15" s="40" t="s">
        <v>0</v>
      </c>
      <c r="K15" s="41" t="s">
        <v>132</v>
      </c>
      <c r="L15" s="41" t="s">
        <v>135</v>
      </c>
      <c r="M15" s="41" t="s">
        <v>133</v>
      </c>
      <c r="N15" s="42" t="s">
        <v>136</v>
      </c>
      <c r="P15" s="2" t="s">
        <v>129</v>
      </c>
      <c r="Q15" s="2" t="s">
        <v>130</v>
      </c>
      <c r="R15" s="26" t="s">
        <v>152</v>
      </c>
      <c r="S15" s="2" t="s">
        <v>138</v>
      </c>
      <c r="W15" t="s">
        <v>134</v>
      </c>
      <c r="AI15" t="s">
        <v>137</v>
      </c>
    </row>
    <row r="16" spans="1:89" ht="15.75" thickBot="1">
      <c r="A16" s="5" t="s">
        <v>7</v>
      </c>
      <c r="B16" s="43" t="s">
        <v>8</v>
      </c>
      <c r="C16" s="6" t="s">
        <v>9</v>
      </c>
      <c r="D16" s="22">
        <v>1</v>
      </c>
      <c r="E16" s="30">
        <f t="array" ref="E16:E123">addMat(MMULT(MINVERSE(subMat(eye(108),ScMatMult(sLag(W,eye(108),1),rho))),MMULT(Xmat,Beta)),R16:R123)</f>
        <v>0.16233411884303461</v>
      </c>
      <c r="F16" s="37">
        <f>MAX(0,MIN(E16,1)-$B$8)*$B$9*$B$10</f>
        <v>1850.1178264551932</v>
      </c>
      <c r="J16" s="43">
        <v>1</v>
      </c>
      <c r="K16" s="73">
        <v>3.8846599999999998</v>
      </c>
      <c r="L16" s="17">
        <f>K16^2</f>
        <v>15.090583315599998</v>
      </c>
      <c r="M16" s="52">
        <v>0</v>
      </c>
      <c r="N16" s="18">
        <f>M16^2</f>
        <v>0</v>
      </c>
      <c r="P16" s="12">
        <v>0.1</v>
      </c>
      <c r="Q16" s="55">
        <v>6.6737849705752098E-2</v>
      </c>
      <c r="R16" s="59">
        <v>1.37744335238669E-2</v>
      </c>
      <c r="S16" s="13">
        <v>1</v>
      </c>
      <c r="T16" s="14">
        <v>2</v>
      </c>
      <c r="U16" s="15">
        <v>0.25</v>
      </c>
      <c r="W16" s="13">
        <v>0</v>
      </c>
      <c r="X16" s="14">
        <v>1</v>
      </c>
      <c r="Y16" s="14">
        <v>0</v>
      </c>
      <c r="Z16" s="14">
        <v>0</v>
      </c>
      <c r="AA16" s="14">
        <v>0</v>
      </c>
      <c r="AB16" s="14">
        <v>0</v>
      </c>
      <c r="AC16" s="14">
        <v>0</v>
      </c>
      <c r="AD16" s="14">
        <v>0</v>
      </c>
      <c r="AE16" s="14">
        <v>0</v>
      </c>
      <c r="AF16" s="14">
        <v>0</v>
      </c>
      <c r="AG16" s="15">
        <v>0</v>
      </c>
      <c r="AI16" s="13">
        <f t="array" ref="AI16:CK123">stackH(Xint,matmul(Xint,NDVI))</f>
        <v>0</v>
      </c>
      <c r="AJ16" s="14">
        <v>1</v>
      </c>
      <c r="AK16" s="14">
        <v>0</v>
      </c>
      <c r="AL16" s="14">
        <v>0</v>
      </c>
      <c r="AM16" s="14">
        <v>0</v>
      </c>
      <c r="AN16" s="14">
        <v>0</v>
      </c>
      <c r="AO16" s="14">
        <v>0</v>
      </c>
      <c r="AP16" s="14">
        <v>0</v>
      </c>
      <c r="AQ16" s="14">
        <v>0</v>
      </c>
      <c r="AR16" s="14">
        <v>0</v>
      </c>
      <c r="AS16" s="14">
        <v>0</v>
      </c>
      <c r="AT16" s="14">
        <v>0</v>
      </c>
      <c r="AU16" s="14">
        <v>3.8846599999999998</v>
      </c>
      <c r="AV16" s="14">
        <v>0</v>
      </c>
      <c r="AW16" s="14">
        <v>0</v>
      </c>
      <c r="AX16" s="14">
        <v>0</v>
      </c>
      <c r="AY16" s="14">
        <v>0</v>
      </c>
      <c r="AZ16" s="14">
        <v>0</v>
      </c>
      <c r="BA16" s="14">
        <v>0</v>
      </c>
      <c r="BB16" s="14">
        <v>0</v>
      </c>
      <c r="BC16" s="14">
        <v>0</v>
      </c>
      <c r="BD16" s="14">
        <v>0</v>
      </c>
      <c r="BE16" s="14">
        <v>0</v>
      </c>
      <c r="BF16" s="14">
        <v>15.090583315599998</v>
      </c>
      <c r="BG16" s="14">
        <v>0</v>
      </c>
      <c r="BH16" s="14">
        <v>0</v>
      </c>
      <c r="BI16" s="14">
        <v>0</v>
      </c>
      <c r="BJ16" s="14">
        <v>0</v>
      </c>
      <c r="BK16" s="14">
        <v>0</v>
      </c>
      <c r="BL16" s="14">
        <v>0</v>
      </c>
      <c r="BM16" s="14">
        <v>0</v>
      </c>
      <c r="BN16" s="14">
        <v>0</v>
      </c>
      <c r="BO16" s="14">
        <v>0</v>
      </c>
      <c r="BP16" s="14">
        <v>0</v>
      </c>
      <c r="BQ16" s="14">
        <v>0</v>
      </c>
      <c r="BR16" s="14">
        <v>0</v>
      </c>
      <c r="BS16" s="14">
        <v>0</v>
      </c>
      <c r="BT16" s="14">
        <v>0</v>
      </c>
      <c r="BU16" s="14">
        <v>0</v>
      </c>
      <c r="BV16" s="14">
        <v>0</v>
      </c>
      <c r="BW16" s="14">
        <v>0</v>
      </c>
      <c r="BX16" s="14">
        <v>0</v>
      </c>
      <c r="BY16" s="14">
        <v>0</v>
      </c>
      <c r="BZ16" s="14">
        <v>0</v>
      </c>
      <c r="CA16" s="14">
        <v>0</v>
      </c>
      <c r="CB16" s="14">
        <v>0</v>
      </c>
      <c r="CC16" s="14">
        <v>0</v>
      </c>
      <c r="CD16" s="14">
        <v>0</v>
      </c>
      <c r="CE16" s="14">
        <v>0</v>
      </c>
      <c r="CF16" s="14">
        <v>0</v>
      </c>
      <c r="CG16" s="14">
        <v>0</v>
      </c>
      <c r="CH16" s="14">
        <v>0</v>
      </c>
      <c r="CI16" s="14">
        <v>0</v>
      </c>
      <c r="CJ16" s="14">
        <v>0</v>
      </c>
      <c r="CK16" s="15">
        <v>0</v>
      </c>
    </row>
    <row r="17" spans="1:89">
      <c r="A17" s="5" t="s">
        <v>7</v>
      </c>
      <c r="B17" s="44" t="s">
        <v>8</v>
      </c>
      <c r="C17" s="6" t="s">
        <v>10</v>
      </c>
      <c r="D17" s="5">
        <v>2</v>
      </c>
      <c r="E17" s="31">
        <v>0.16974399332694709</v>
      </c>
      <c r="F17" s="38">
        <f>MAX(0,MIN(E17,1)-$B$8)*$B$9*$B$10</f>
        <v>2961.5989990420644</v>
      </c>
      <c r="J17" s="44">
        <v>2</v>
      </c>
      <c r="K17" s="73">
        <v>4.5840100000000001</v>
      </c>
      <c r="L17" s="17">
        <f t="shared" ref="L17:L80" si="0">K17^2</f>
        <v>21.013147680100001</v>
      </c>
      <c r="M17" s="52">
        <f>M16</f>
        <v>0</v>
      </c>
      <c r="N17" s="18">
        <f t="shared" ref="N17:N80" si="1">M17^2</f>
        <v>0</v>
      </c>
      <c r="Q17" s="56">
        <v>0.13759338289835499</v>
      </c>
      <c r="R17" s="60">
        <v>2.1733326390963498E-2</v>
      </c>
      <c r="S17" s="16">
        <v>1</v>
      </c>
      <c r="T17" s="17">
        <v>5</v>
      </c>
      <c r="U17" s="18">
        <v>0.25</v>
      </c>
      <c r="W17" s="16">
        <v>0</v>
      </c>
      <c r="X17" s="17">
        <v>1</v>
      </c>
      <c r="Y17" s="17">
        <v>0</v>
      </c>
      <c r="Z17" s="17">
        <v>0</v>
      </c>
      <c r="AA17" s="17">
        <v>0</v>
      </c>
      <c r="AB17" s="17">
        <v>0</v>
      </c>
      <c r="AC17" s="17">
        <v>0</v>
      </c>
      <c r="AD17" s="17">
        <v>0</v>
      </c>
      <c r="AE17" s="17">
        <v>0</v>
      </c>
      <c r="AF17" s="17">
        <v>0</v>
      </c>
      <c r="AG17" s="18">
        <v>0</v>
      </c>
      <c r="AI17" s="16">
        <v>0</v>
      </c>
      <c r="AJ17" s="17">
        <v>1</v>
      </c>
      <c r="AK17" s="17">
        <v>0</v>
      </c>
      <c r="AL17" s="17">
        <v>0</v>
      </c>
      <c r="AM17" s="17">
        <v>0</v>
      </c>
      <c r="AN17" s="17">
        <v>0</v>
      </c>
      <c r="AO17" s="17">
        <v>0</v>
      </c>
      <c r="AP17" s="17">
        <v>0</v>
      </c>
      <c r="AQ17" s="17">
        <v>0</v>
      </c>
      <c r="AR17" s="17">
        <v>0</v>
      </c>
      <c r="AS17" s="17">
        <v>0</v>
      </c>
      <c r="AT17" s="17">
        <v>0</v>
      </c>
      <c r="AU17" s="17">
        <v>4.5840100000000001</v>
      </c>
      <c r="AV17" s="17">
        <v>0</v>
      </c>
      <c r="AW17" s="17">
        <v>0</v>
      </c>
      <c r="AX17" s="17">
        <v>0</v>
      </c>
      <c r="AY17" s="17">
        <v>0</v>
      </c>
      <c r="AZ17" s="17">
        <v>0</v>
      </c>
      <c r="BA17" s="17">
        <v>0</v>
      </c>
      <c r="BB17" s="17">
        <v>0</v>
      </c>
      <c r="BC17" s="17">
        <v>0</v>
      </c>
      <c r="BD17" s="17">
        <v>0</v>
      </c>
      <c r="BE17" s="17">
        <v>0</v>
      </c>
      <c r="BF17" s="17">
        <v>21.013147680100001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7">
        <v>0</v>
      </c>
      <c r="BM17" s="17">
        <v>0</v>
      </c>
      <c r="BN17" s="17">
        <v>0</v>
      </c>
      <c r="BO17" s="17">
        <v>0</v>
      </c>
      <c r="BP17" s="17">
        <v>0</v>
      </c>
      <c r="BQ17" s="17">
        <v>0</v>
      </c>
      <c r="BR17" s="17">
        <v>0</v>
      </c>
      <c r="BS17" s="17">
        <v>0</v>
      </c>
      <c r="BT17" s="17">
        <v>0</v>
      </c>
      <c r="BU17" s="17">
        <v>0</v>
      </c>
      <c r="BV17" s="17">
        <v>0</v>
      </c>
      <c r="BW17" s="17">
        <v>0</v>
      </c>
      <c r="BX17" s="17">
        <v>0</v>
      </c>
      <c r="BY17" s="17">
        <v>0</v>
      </c>
      <c r="BZ17" s="17">
        <v>0</v>
      </c>
      <c r="CA17" s="17">
        <v>0</v>
      </c>
      <c r="CB17" s="17">
        <v>0</v>
      </c>
      <c r="CC17" s="17">
        <v>0</v>
      </c>
      <c r="CD17" s="17">
        <v>0</v>
      </c>
      <c r="CE17" s="17">
        <v>0</v>
      </c>
      <c r="CF17" s="17">
        <v>0</v>
      </c>
      <c r="CG17" s="17">
        <v>0</v>
      </c>
      <c r="CH17" s="17">
        <v>0</v>
      </c>
      <c r="CI17" s="17">
        <v>0</v>
      </c>
      <c r="CJ17" s="17">
        <v>0</v>
      </c>
      <c r="CK17" s="18">
        <v>0</v>
      </c>
    </row>
    <row r="18" spans="1:89">
      <c r="A18" s="5" t="s">
        <v>7</v>
      </c>
      <c r="B18" s="44" t="s">
        <v>8</v>
      </c>
      <c r="C18" s="6" t="s">
        <v>11</v>
      </c>
      <c r="D18" s="5">
        <v>3</v>
      </c>
      <c r="E18" s="31">
        <v>0.16707195914411022</v>
      </c>
      <c r="F18" s="38">
        <f t="shared" ref="F18:F81" si="2">MAX(0,MIN(E18,1)-$B$8)*$B$9*$B$10</f>
        <v>2560.7938716165331</v>
      </c>
      <c r="J18" s="44">
        <v>3</v>
      </c>
      <c r="K18" s="73">
        <v>1.44835</v>
      </c>
      <c r="L18" s="17">
        <f t="shared" si="0"/>
        <v>2.0977177225000001</v>
      </c>
      <c r="M18" s="52">
        <f t="shared" ref="M18:M81" si="3">M17</f>
        <v>0</v>
      </c>
      <c r="N18" s="18">
        <f t="shared" si="1"/>
        <v>0</v>
      </c>
      <c r="Q18" s="56">
        <v>0.112553335782393</v>
      </c>
      <c r="R18" s="60">
        <v>1.6252591951471398E-2</v>
      </c>
      <c r="S18" s="16">
        <v>1</v>
      </c>
      <c r="T18" s="17">
        <v>6</v>
      </c>
      <c r="U18" s="18">
        <v>0.25</v>
      </c>
      <c r="W18" s="16">
        <v>0</v>
      </c>
      <c r="X18" s="17">
        <v>1</v>
      </c>
      <c r="Y18" s="17">
        <v>0</v>
      </c>
      <c r="Z18" s="17">
        <v>0</v>
      </c>
      <c r="AA18" s="17">
        <v>0</v>
      </c>
      <c r="AB18" s="17">
        <v>0</v>
      </c>
      <c r="AC18" s="17">
        <v>0</v>
      </c>
      <c r="AD18" s="17">
        <v>0</v>
      </c>
      <c r="AE18" s="17">
        <v>0</v>
      </c>
      <c r="AF18" s="17">
        <v>0</v>
      </c>
      <c r="AG18" s="18">
        <v>0</v>
      </c>
      <c r="AI18" s="16">
        <v>0</v>
      </c>
      <c r="AJ18" s="17">
        <v>1</v>
      </c>
      <c r="AK18" s="17">
        <v>0</v>
      </c>
      <c r="AL18" s="17">
        <v>0</v>
      </c>
      <c r="AM18" s="17">
        <v>0</v>
      </c>
      <c r="AN18" s="17">
        <v>0</v>
      </c>
      <c r="AO18" s="17">
        <v>0</v>
      </c>
      <c r="AP18" s="17">
        <v>0</v>
      </c>
      <c r="AQ18" s="17">
        <v>0</v>
      </c>
      <c r="AR18" s="17">
        <v>0</v>
      </c>
      <c r="AS18" s="17">
        <v>0</v>
      </c>
      <c r="AT18" s="17">
        <v>0</v>
      </c>
      <c r="AU18" s="17">
        <v>1.44835</v>
      </c>
      <c r="AV18" s="17">
        <v>0</v>
      </c>
      <c r="AW18" s="17">
        <v>0</v>
      </c>
      <c r="AX18" s="17">
        <v>0</v>
      </c>
      <c r="AY18" s="17">
        <v>0</v>
      </c>
      <c r="AZ18" s="17">
        <v>0</v>
      </c>
      <c r="BA18" s="17">
        <v>0</v>
      </c>
      <c r="BB18" s="17">
        <v>0</v>
      </c>
      <c r="BC18" s="17">
        <v>0</v>
      </c>
      <c r="BD18" s="17">
        <v>0</v>
      </c>
      <c r="BE18" s="17">
        <v>0</v>
      </c>
      <c r="BF18" s="17">
        <v>2.0977177225000001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7">
        <v>0</v>
      </c>
      <c r="BN18" s="17">
        <v>0</v>
      </c>
      <c r="BO18" s="17">
        <v>0</v>
      </c>
      <c r="BP18" s="17">
        <v>0</v>
      </c>
      <c r="BQ18" s="17">
        <v>0</v>
      </c>
      <c r="BR18" s="17">
        <v>0</v>
      </c>
      <c r="BS18" s="17">
        <v>0</v>
      </c>
      <c r="BT18" s="17">
        <v>0</v>
      </c>
      <c r="BU18" s="17">
        <v>0</v>
      </c>
      <c r="BV18" s="17">
        <v>0</v>
      </c>
      <c r="BW18" s="17">
        <v>0</v>
      </c>
      <c r="BX18" s="17">
        <v>0</v>
      </c>
      <c r="BY18" s="17">
        <v>0</v>
      </c>
      <c r="BZ18" s="17">
        <v>0</v>
      </c>
      <c r="CA18" s="17">
        <v>0</v>
      </c>
      <c r="CB18" s="17">
        <v>0</v>
      </c>
      <c r="CC18" s="17">
        <v>0</v>
      </c>
      <c r="CD18" s="17">
        <v>0</v>
      </c>
      <c r="CE18" s="17">
        <v>0</v>
      </c>
      <c r="CF18" s="17">
        <v>0</v>
      </c>
      <c r="CG18" s="17">
        <v>0</v>
      </c>
      <c r="CH18" s="17">
        <v>0</v>
      </c>
      <c r="CI18" s="17">
        <v>0</v>
      </c>
      <c r="CJ18" s="17">
        <v>0</v>
      </c>
      <c r="CK18" s="18">
        <v>0</v>
      </c>
    </row>
    <row r="19" spans="1:89">
      <c r="A19" s="5" t="s">
        <v>7</v>
      </c>
      <c r="B19" s="44" t="s">
        <v>8</v>
      </c>
      <c r="C19" s="6" t="s">
        <v>12</v>
      </c>
      <c r="D19" s="5">
        <v>4</v>
      </c>
      <c r="E19" s="31">
        <v>0.16790892815927921</v>
      </c>
      <c r="F19" s="38">
        <f t="shared" si="2"/>
        <v>2686.3392238918827</v>
      </c>
      <c r="J19" s="44">
        <v>4</v>
      </c>
      <c r="K19" s="73">
        <v>1.21347</v>
      </c>
      <c r="L19" s="17">
        <f t="shared" si="0"/>
        <v>1.4725094409000001</v>
      </c>
      <c r="M19" s="52">
        <f t="shared" si="3"/>
        <v>0</v>
      </c>
      <c r="N19" s="18">
        <f t="shared" si="1"/>
        <v>0</v>
      </c>
      <c r="Q19" s="56">
        <v>9.9522808550559103E-2</v>
      </c>
      <c r="R19" s="60">
        <v>1.6771977459502301E-2</v>
      </c>
      <c r="S19" s="16">
        <v>1</v>
      </c>
      <c r="T19" s="17">
        <v>9</v>
      </c>
      <c r="U19" s="18">
        <v>0.25</v>
      </c>
      <c r="W19" s="16">
        <v>0</v>
      </c>
      <c r="X19" s="17">
        <v>1</v>
      </c>
      <c r="Y19" s="17">
        <v>0</v>
      </c>
      <c r="Z19" s="17">
        <v>0</v>
      </c>
      <c r="AA19" s="17">
        <v>0</v>
      </c>
      <c r="AB19" s="17">
        <v>0</v>
      </c>
      <c r="AC19" s="17">
        <v>0</v>
      </c>
      <c r="AD19" s="17">
        <v>0</v>
      </c>
      <c r="AE19" s="17">
        <v>0</v>
      </c>
      <c r="AF19" s="17">
        <v>0</v>
      </c>
      <c r="AG19" s="18">
        <v>0</v>
      </c>
      <c r="AI19" s="16">
        <v>0</v>
      </c>
      <c r="AJ19" s="17">
        <v>1</v>
      </c>
      <c r="AK19" s="17">
        <v>0</v>
      </c>
      <c r="AL19" s="17">
        <v>0</v>
      </c>
      <c r="AM19" s="17">
        <v>0</v>
      </c>
      <c r="AN19" s="17">
        <v>0</v>
      </c>
      <c r="AO19" s="17">
        <v>0</v>
      </c>
      <c r="AP19" s="17">
        <v>0</v>
      </c>
      <c r="AQ19" s="17">
        <v>0</v>
      </c>
      <c r="AR19" s="17">
        <v>0</v>
      </c>
      <c r="AS19" s="17">
        <v>0</v>
      </c>
      <c r="AT19" s="17">
        <v>0</v>
      </c>
      <c r="AU19" s="17">
        <v>1.21347</v>
      </c>
      <c r="AV19" s="17">
        <v>0</v>
      </c>
      <c r="AW19" s="17">
        <v>0</v>
      </c>
      <c r="AX19" s="17">
        <v>0</v>
      </c>
      <c r="AY19" s="17">
        <v>0</v>
      </c>
      <c r="AZ19" s="17">
        <v>0</v>
      </c>
      <c r="BA19" s="17">
        <v>0</v>
      </c>
      <c r="BB19" s="17">
        <v>0</v>
      </c>
      <c r="BC19" s="17">
        <v>0</v>
      </c>
      <c r="BD19" s="17">
        <v>0</v>
      </c>
      <c r="BE19" s="17">
        <v>0</v>
      </c>
      <c r="BF19" s="17">
        <v>1.4725094409000001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7">
        <v>0</v>
      </c>
      <c r="BN19" s="17">
        <v>0</v>
      </c>
      <c r="BO19" s="17">
        <v>0</v>
      </c>
      <c r="BP19" s="17">
        <v>0</v>
      </c>
      <c r="BQ19" s="17">
        <v>0</v>
      </c>
      <c r="BR19" s="17">
        <v>0</v>
      </c>
      <c r="BS19" s="17">
        <v>0</v>
      </c>
      <c r="BT19" s="17">
        <v>0</v>
      </c>
      <c r="BU19" s="17">
        <v>0</v>
      </c>
      <c r="BV19" s="17">
        <v>0</v>
      </c>
      <c r="BW19" s="17">
        <v>0</v>
      </c>
      <c r="BX19" s="17">
        <v>0</v>
      </c>
      <c r="BY19" s="17">
        <v>0</v>
      </c>
      <c r="BZ19" s="17">
        <v>0</v>
      </c>
      <c r="CA19" s="17">
        <v>0</v>
      </c>
      <c r="CB19" s="17">
        <v>0</v>
      </c>
      <c r="CC19" s="17">
        <v>0</v>
      </c>
      <c r="CD19" s="17">
        <v>0</v>
      </c>
      <c r="CE19" s="17">
        <v>0</v>
      </c>
      <c r="CF19" s="17">
        <v>0</v>
      </c>
      <c r="CG19" s="17">
        <v>0</v>
      </c>
      <c r="CH19" s="17">
        <v>0</v>
      </c>
      <c r="CI19" s="17">
        <v>0</v>
      </c>
      <c r="CJ19" s="17">
        <v>0</v>
      </c>
      <c r="CK19" s="18">
        <v>0</v>
      </c>
    </row>
    <row r="20" spans="1:89">
      <c r="A20" s="5" t="s">
        <v>7</v>
      </c>
      <c r="B20" s="44" t="s">
        <v>8</v>
      </c>
      <c r="C20" s="6" t="s">
        <v>13</v>
      </c>
      <c r="D20" s="5">
        <v>5</v>
      </c>
      <c r="E20" s="31">
        <v>0.16490816616808893</v>
      </c>
      <c r="F20" s="38">
        <f t="shared" si="2"/>
        <v>2236.2249252133397</v>
      </c>
      <c r="J20" s="44">
        <v>5</v>
      </c>
      <c r="K20" s="73">
        <v>1.2832399999999999</v>
      </c>
      <c r="L20" s="17">
        <f t="shared" si="0"/>
        <v>1.6467048975999998</v>
      </c>
      <c r="M20" s="52">
        <f t="shared" si="3"/>
        <v>0</v>
      </c>
      <c r="N20" s="18">
        <f t="shared" si="1"/>
        <v>0</v>
      </c>
      <c r="Q20" s="56">
        <v>7.1422093334459993E-2</v>
      </c>
      <c r="R20" s="60">
        <v>1.3891330618933899E-2</v>
      </c>
      <c r="S20" s="16">
        <v>2</v>
      </c>
      <c r="T20" s="17">
        <v>1</v>
      </c>
      <c r="U20" s="18">
        <v>0.2</v>
      </c>
      <c r="W20" s="16">
        <v>0</v>
      </c>
      <c r="X20" s="17">
        <v>1</v>
      </c>
      <c r="Y20" s="17">
        <v>0</v>
      </c>
      <c r="Z20" s="17">
        <v>0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7">
        <v>0</v>
      </c>
      <c r="AG20" s="18">
        <v>0</v>
      </c>
      <c r="AI20" s="16">
        <v>0</v>
      </c>
      <c r="AJ20" s="17">
        <v>1</v>
      </c>
      <c r="AK20" s="17">
        <v>0</v>
      </c>
      <c r="AL20" s="17">
        <v>0</v>
      </c>
      <c r="AM20" s="17">
        <v>0</v>
      </c>
      <c r="AN20" s="17">
        <v>0</v>
      </c>
      <c r="AO20" s="17">
        <v>0</v>
      </c>
      <c r="AP20" s="17">
        <v>0</v>
      </c>
      <c r="AQ20" s="17">
        <v>0</v>
      </c>
      <c r="AR20" s="17">
        <v>0</v>
      </c>
      <c r="AS20" s="17">
        <v>0</v>
      </c>
      <c r="AT20" s="17">
        <v>0</v>
      </c>
      <c r="AU20" s="17">
        <v>1.2832399999999999</v>
      </c>
      <c r="AV20" s="17">
        <v>0</v>
      </c>
      <c r="AW20" s="17">
        <v>0</v>
      </c>
      <c r="AX20" s="17">
        <v>0</v>
      </c>
      <c r="AY20" s="17">
        <v>0</v>
      </c>
      <c r="AZ20" s="17">
        <v>0</v>
      </c>
      <c r="BA20" s="17">
        <v>0</v>
      </c>
      <c r="BB20" s="17">
        <v>0</v>
      </c>
      <c r="BC20" s="17">
        <v>0</v>
      </c>
      <c r="BD20" s="17">
        <v>0</v>
      </c>
      <c r="BE20" s="17">
        <v>0</v>
      </c>
      <c r="BF20" s="17">
        <v>1.6467048975999998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7">
        <v>0</v>
      </c>
      <c r="BN20" s="17">
        <v>0</v>
      </c>
      <c r="BO20" s="17">
        <v>0</v>
      </c>
      <c r="BP20" s="17">
        <v>0</v>
      </c>
      <c r="BQ20" s="17">
        <v>0</v>
      </c>
      <c r="BR20" s="17">
        <v>0</v>
      </c>
      <c r="BS20" s="17">
        <v>0</v>
      </c>
      <c r="BT20" s="17">
        <v>0</v>
      </c>
      <c r="BU20" s="17">
        <v>0</v>
      </c>
      <c r="BV20" s="17">
        <v>0</v>
      </c>
      <c r="BW20" s="17">
        <v>0</v>
      </c>
      <c r="BX20" s="17">
        <v>0</v>
      </c>
      <c r="BY20" s="17">
        <v>0</v>
      </c>
      <c r="BZ20" s="17">
        <v>0</v>
      </c>
      <c r="CA20" s="17">
        <v>0</v>
      </c>
      <c r="CB20" s="17">
        <v>0</v>
      </c>
      <c r="CC20" s="17">
        <v>0</v>
      </c>
      <c r="CD20" s="17">
        <v>0</v>
      </c>
      <c r="CE20" s="17">
        <v>0</v>
      </c>
      <c r="CF20" s="17">
        <v>0</v>
      </c>
      <c r="CG20" s="17">
        <v>0</v>
      </c>
      <c r="CH20" s="17">
        <v>0</v>
      </c>
      <c r="CI20" s="17">
        <v>0</v>
      </c>
      <c r="CJ20" s="17">
        <v>0</v>
      </c>
      <c r="CK20" s="18">
        <v>0</v>
      </c>
    </row>
    <row r="21" spans="1:89">
      <c r="A21" s="5" t="s">
        <v>7</v>
      </c>
      <c r="B21" s="44" t="s">
        <v>8</v>
      </c>
      <c r="C21" s="6" t="s">
        <v>14</v>
      </c>
      <c r="D21" s="5">
        <v>6</v>
      </c>
      <c r="E21" s="31">
        <v>0.17028950902174048</v>
      </c>
      <c r="F21" s="38">
        <f t="shared" si="2"/>
        <v>3043.4263532610721</v>
      </c>
      <c r="J21" s="44">
        <v>6</v>
      </c>
      <c r="K21" s="73">
        <v>2.4621300000000002</v>
      </c>
      <c r="L21" s="17">
        <f t="shared" si="0"/>
        <v>6.0620841369000011</v>
      </c>
      <c r="M21" s="52">
        <f t="shared" si="3"/>
        <v>0</v>
      </c>
      <c r="N21" s="18">
        <f t="shared" si="1"/>
        <v>0</v>
      </c>
      <c r="Q21" s="56">
        <v>0.14720079783453899</v>
      </c>
      <c r="R21" s="60">
        <v>1.9261856427149199E-2</v>
      </c>
      <c r="S21" s="16">
        <v>2</v>
      </c>
      <c r="T21" s="17">
        <v>3</v>
      </c>
      <c r="U21" s="18">
        <v>0.2</v>
      </c>
      <c r="W21" s="16">
        <v>0</v>
      </c>
      <c r="X21" s="17">
        <v>1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18">
        <v>0</v>
      </c>
      <c r="AI21" s="16">
        <v>0</v>
      </c>
      <c r="AJ21" s="17">
        <v>1</v>
      </c>
      <c r="AK21" s="17">
        <v>0</v>
      </c>
      <c r="AL21" s="17">
        <v>0</v>
      </c>
      <c r="AM21" s="17">
        <v>0</v>
      </c>
      <c r="AN21" s="17">
        <v>0</v>
      </c>
      <c r="AO21" s="17">
        <v>0</v>
      </c>
      <c r="AP21" s="17">
        <v>0</v>
      </c>
      <c r="AQ21" s="17">
        <v>0</v>
      </c>
      <c r="AR21" s="17">
        <v>0</v>
      </c>
      <c r="AS21" s="17">
        <v>0</v>
      </c>
      <c r="AT21" s="17">
        <v>0</v>
      </c>
      <c r="AU21" s="17">
        <v>2.4621300000000002</v>
      </c>
      <c r="AV21" s="17">
        <v>0</v>
      </c>
      <c r="AW21" s="17">
        <v>0</v>
      </c>
      <c r="AX21" s="17">
        <v>0</v>
      </c>
      <c r="AY21" s="17">
        <v>0</v>
      </c>
      <c r="AZ21" s="17">
        <v>0</v>
      </c>
      <c r="BA21" s="17">
        <v>0</v>
      </c>
      <c r="BB21" s="17">
        <v>0</v>
      </c>
      <c r="BC21" s="17">
        <v>0</v>
      </c>
      <c r="BD21" s="17">
        <v>0</v>
      </c>
      <c r="BE21" s="17">
        <v>0</v>
      </c>
      <c r="BF21" s="17">
        <v>6.0620841369000011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7">
        <v>0</v>
      </c>
      <c r="BN21" s="17">
        <v>0</v>
      </c>
      <c r="BO21" s="17">
        <v>0</v>
      </c>
      <c r="BP21" s="17">
        <v>0</v>
      </c>
      <c r="BQ21" s="17">
        <v>0</v>
      </c>
      <c r="BR21" s="17">
        <v>0</v>
      </c>
      <c r="BS21" s="17">
        <v>0</v>
      </c>
      <c r="BT21" s="17">
        <v>0</v>
      </c>
      <c r="BU21" s="17">
        <v>0</v>
      </c>
      <c r="BV21" s="17">
        <v>0</v>
      </c>
      <c r="BW21" s="17">
        <v>0</v>
      </c>
      <c r="BX21" s="17">
        <v>0</v>
      </c>
      <c r="BY21" s="17">
        <v>0</v>
      </c>
      <c r="BZ21" s="17">
        <v>0</v>
      </c>
      <c r="CA21" s="17">
        <v>0</v>
      </c>
      <c r="CB21" s="17">
        <v>0</v>
      </c>
      <c r="CC21" s="17">
        <v>0</v>
      </c>
      <c r="CD21" s="17">
        <v>0</v>
      </c>
      <c r="CE21" s="17">
        <v>0</v>
      </c>
      <c r="CF21" s="17">
        <v>0</v>
      </c>
      <c r="CG21" s="17">
        <v>0</v>
      </c>
      <c r="CH21" s="17">
        <v>0</v>
      </c>
      <c r="CI21" s="17">
        <v>0</v>
      </c>
      <c r="CJ21" s="17">
        <v>0</v>
      </c>
      <c r="CK21" s="18">
        <v>0</v>
      </c>
    </row>
    <row r="22" spans="1:89">
      <c r="A22" s="5" t="s">
        <v>7</v>
      </c>
      <c r="B22" s="44" t="s">
        <v>8</v>
      </c>
      <c r="C22" s="6" t="s">
        <v>15</v>
      </c>
      <c r="D22" s="5">
        <v>7</v>
      </c>
      <c r="E22" s="31">
        <v>0.17314367177060747</v>
      </c>
      <c r="F22" s="38">
        <f t="shared" si="2"/>
        <v>3471.5507655911206</v>
      </c>
      <c r="J22" s="44">
        <v>7</v>
      </c>
      <c r="K22" s="73">
        <v>1.48478</v>
      </c>
      <c r="L22" s="17">
        <f t="shared" si="0"/>
        <v>2.2045716484</v>
      </c>
      <c r="M22" s="52">
        <f t="shared" si="3"/>
        <v>0</v>
      </c>
      <c r="N22" s="18">
        <f t="shared" si="1"/>
        <v>0</v>
      </c>
      <c r="Q22" s="56">
        <v>5.3873907231505098E-2</v>
      </c>
      <c r="R22" s="60">
        <v>2.2342979359389101E-2</v>
      </c>
      <c r="S22" s="16">
        <v>2</v>
      </c>
      <c r="T22" s="17">
        <v>4</v>
      </c>
      <c r="U22" s="18">
        <v>0.2</v>
      </c>
      <c r="W22" s="16">
        <v>0</v>
      </c>
      <c r="X22" s="17">
        <v>1</v>
      </c>
      <c r="Y22" s="17">
        <v>0</v>
      </c>
      <c r="Z22" s="17">
        <v>0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18">
        <v>0</v>
      </c>
      <c r="AI22" s="16">
        <v>0</v>
      </c>
      <c r="AJ22" s="17">
        <v>1</v>
      </c>
      <c r="AK22" s="17">
        <v>0</v>
      </c>
      <c r="AL22" s="17">
        <v>0</v>
      </c>
      <c r="AM22" s="17">
        <v>0</v>
      </c>
      <c r="AN22" s="17">
        <v>0</v>
      </c>
      <c r="AO22" s="17">
        <v>0</v>
      </c>
      <c r="AP22" s="17">
        <v>0</v>
      </c>
      <c r="AQ22" s="17">
        <v>0</v>
      </c>
      <c r="AR22" s="17">
        <v>0</v>
      </c>
      <c r="AS22" s="17">
        <v>0</v>
      </c>
      <c r="AT22" s="17">
        <v>0</v>
      </c>
      <c r="AU22" s="17">
        <v>1.48478</v>
      </c>
      <c r="AV22" s="17">
        <v>0</v>
      </c>
      <c r="AW22" s="17">
        <v>0</v>
      </c>
      <c r="AX22" s="17">
        <v>0</v>
      </c>
      <c r="AY22" s="17">
        <v>0</v>
      </c>
      <c r="AZ22" s="17">
        <v>0</v>
      </c>
      <c r="BA22" s="17">
        <v>0</v>
      </c>
      <c r="BB22" s="17">
        <v>0</v>
      </c>
      <c r="BC22" s="17">
        <v>0</v>
      </c>
      <c r="BD22" s="17">
        <v>0</v>
      </c>
      <c r="BE22" s="17">
        <v>0</v>
      </c>
      <c r="BF22" s="17">
        <v>2.2045716484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7">
        <v>0</v>
      </c>
      <c r="BN22" s="17">
        <v>0</v>
      </c>
      <c r="BO22" s="17">
        <v>0</v>
      </c>
      <c r="BP22" s="17">
        <v>0</v>
      </c>
      <c r="BQ22" s="17">
        <v>0</v>
      </c>
      <c r="BR22" s="17">
        <v>0</v>
      </c>
      <c r="BS22" s="17">
        <v>0</v>
      </c>
      <c r="BT22" s="17">
        <v>0</v>
      </c>
      <c r="BU22" s="17">
        <v>0</v>
      </c>
      <c r="BV22" s="17">
        <v>0</v>
      </c>
      <c r="BW22" s="17">
        <v>0</v>
      </c>
      <c r="BX22" s="17">
        <v>0</v>
      </c>
      <c r="BY22" s="17">
        <v>0</v>
      </c>
      <c r="BZ22" s="17">
        <v>0</v>
      </c>
      <c r="CA22" s="17">
        <v>0</v>
      </c>
      <c r="CB22" s="17">
        <v>0</v>
      </c>
      <c r="CC22" s="17">
        <v>0</v>
      </c>
      <c r="CD22" s="17">
        <v>0</v>
      </c>
      <c r="CE22" s="17">
        <v>0</v>
      </c>
      <c r="CF22" s="17">
        <v>0</v>
      </c>
      <c r="CG22" s="17">
        <v>0</v>
      </c>
      <c r="CH22" s="17">
        <v>0</v>
      </c>
      <c r="CI22" s="17">
        <v>0</v>
      </c>
      <c r="CJ22" s="17">
        <v>0</v>
      </c>
      <c r="CK22" s="18">
        <v>0</v>
      </c>
    </row>
    <row r="23" spans="1:89">
      <c r="A23" s="5" t="s">
        <v>7</v>
      </c>
      <c r="B23" s="44" t="s">
        <v>8</v>
      </c>
      <c r="C23" s="6" t="s">
        <v>16</v>
      </c>
      <c r="D23" s="5">
        <v>8</v>
      </c>
      <c r="E23" s="31">
        <v>0.16947139166372868</v>
      </c>
      <c r="F23" s="38">
        <f t="shared" si="2"/>
        <v>2920.7087495593032</v>
      </c>
      <c r="J23" s="44">
        <v>8</v>
      </c>
      <c r="K23" s="73">
        <v>5.4907700000000004</v>
      </c>
      <c r="L23" s="17">
        <f t="shared" si="0"/>
        <v>30.148555192900005</v>
      </c>
      <c r="M23" s="52">
        <f t="shared" si="3"/>
        <v>0</v>
      </c>
      <c r="N23" s="18">
        <f t="shared" si="1"/>
        <v>0</v>
      </c>
      <c r="Q23" s="56">
        <v>7.0565575049051005E-2</v>
      </c>
      <c r="R23" s="60">
        <v>2.2126406186125401E-2</v>
      </c>
      <c r="S23" s="16">
        <v>2</v>
      </c>
      <c r="T23" s="17">
        <v>5</v>
      </c>
      <c r="U23" s="18">
        <v>0.2</v>
      </c>
      <c r="W23" s="16">
        <v>0</v>
      </c>
      <c r="X23" s="17">
        <v>1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18">
        <v>0</v>
      </c>
      <c r="AI23" s="16">
        <v>0</v>
      </c>
      <c r="AJ23" s="17">
        <v>1</v>
      </c>
      <c r="AK23" s="17">
        <v>0</v>
      </c>
      <c r="AL23" s="17">
        <v>0</v>
      </c>
      <c r="AM23" s="17">
        <v>0</v>
      </c>
      <c r="AN23" s="17">
        <v>0</v>
      </c>
      <c r="AO23" s="17">
        <v>0</v>
      </c>
      <c r="AP23" s="17">
        <v>0</v>
      </c>
      <c r="AQ23" s="17">
        <v>0</v>
      </c>
      <c r="AR23" s="17">
        <v>0</v>
      </c>
      <c r="AS23" s="17">
        <v>0</v>
      </c>
      <c r="AT23" s="17">
        <v>0</v>
      </c>
      <c r="AU23" s="17">
        <v>5.4907700000000004</v>
      </c>
      <c r="AV23" s="17">
        <v>0</v>
      </c>
      <c r="AW23" s="17">
        <v>0</v>
      </c>
      <c r="AX23" s="17">
        <v>0</v>
      </c>
      <c r="AY23" s="17">
        <v>0</v>
      </c>
      <c r="AZ23" s="17">
        <v>0</v>
      </c>
      <c r="BA23" s="17">
        <v>0</v>
      </c>
      <c r="BB23" s="17">
        <v>0</v>
      </c>
      <c r="BC23" s="17">
        <v>0</v>
      </c>
      <c r="BD23" s="17">
        <v>0</v>
      </c>
      <c r="BE23" s="17">
        <v>0</v>
      </c>
      <c r="BF23" s="17">
        <v>30.148555192900005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7">
        <v>0</v>
      </c>
      <c r="BN23" s="17">
        <v>0</v>
      </c>
      <c r="BO23" s="17">
        <v>0</v>
      </c>
      <c r="BP23" s="17">
        <v>0</v>
      </c>
      <c r="BQ23" s="17">
        <v>0</v>
      </c>
      <c r="BR23" s="17">
        <v>0</v>
      </c>
      <c r="BS23" s="17">
        <v>0</v>
      </c>
      <c r="BT23" s="17">
        <v>0</v>
      </c>
      <c r="BU23" s="17">
        <v>0</v>
      </c>
      <c r="BV23" s="17">
        <v>0</v>
      </c>
      <c r="BW23" s="17">
        <v>0</v>
      </c>
      <c r="BX23" s="17">
        <v>0</v>
      </c>
      <c r="BY23" s="17">
        <v>0</v>
      </c>
      <c r="BZ23" s="17">
        <v>0</v>
      </c>
      <c r="CA23" s="17">
        <v>0</v>
      </c>
      <c r="CB23" s="17">
        <v>0</v>
      </c>
      <c r="CC23" s="17">
        <v>0</v>
      </c>
      <c r="CD23" s="17">
        <v>0</v>
      </c>
      <c r="CE23" s="17">
        <v>0</v>
      </c>
      <c r="CF23" s="17">
        <v>0</v>
      </c>
      <c r="CG23" s="17">
        <v>0</v>
      </c>
      <c r="CH23" s="17">
        <v>0</v>
      </c>
      <c r="CI23" s="17">
        <v>0</v>
      </c>
      <c r="CJ23" s="17">
        <v>0</v>
      </c>
      <c r="CK23" s="18">
        <v>0</v>
      </c>
    </row>
    <row r="24" spans="1:89">
      <c r="A24" s="5" t="s">
        <v>7</v>
      </c>
      <c r="B24" s="44" t="s">
        <v>8</v>
      </c>
      <c r="C24" s="6" t="s">
        <v>17</v>
      </c>
      <c r="D24" s="5">
        <v>9</v>
      </c>
      <c r="E24" s="31">
        <v>0.1622389655856494</v>
      </c>
      <c r="F24" s="38">
        <f t="shared" si="2"/>
        <v>1835.8448378474113</v>
      </c>
      <c r="J24" s="44">
        <v>9</v>
      </c>
      <c r="K24" s="73">
        <v>3.9348900000000002</v>
      </c>
      <c r="L24" s="17">
        <f t="shared" si="0"/>
        <v>15.483359312100001</v>
      </c>
      <c r="M24" s="52">
        <f t="shared" si="3"/>
        <v>0</v>
      </c>
      <c r="N24" s="18">
        <f t="shared" si="1"/>
        <v>0</v>
      </c>
      <c r="Q24" s="56">
        <v>0.103896282226912</v>
      </c>
      <c r="R24" s="60">
        <v>1.31540300220274E-2</v>
      </c>
      <c r="S24" s="16">
        <v>2</v>
      </c>
      <c r="T24" s="17">
        <v>8</v>
      </c>
      <c r="U24" s="18">
        <v>0.2</v>
      </c>
      <c r="W24" s="16">
        <v>0</v>
      </c>
      <c r="X24" s="17">
        <v>1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17">
        <v>0</v>
      </c>
      <c r="AE24" s="17">
        <v>0</v>
      </c>
      <c r="AF24" s="17">
        <v>0</v>
      </c>
      <c r="AG24" s="18">
        <v>0</v>
      </c>
      <c r="AI24" s="16">
        <v>0</v>
      </c>
      <c r="AJ24" s="17">
        <v>1</v>
      </c>
      <c r="AK24" s="17">
        <v>0</v>
      </c>
      <c r="AL24" s="17">
        <v>0</v>
      </c>
      <c r="AM24" s="17">
        <v>0</v>
      </c>
      <c r="AN24" s="17">
        <v>0</v>
      </c>
      <c r="AO24" s="17">
        <v>0</v>
      </c>
      <c r="AP24" s="17">
        <v>0</v>
      </c>
      <c r="AQ24" s="17">
        <v>0</v>
      </c>
      <c r="AR24" s="17">
        <v>0</v>
      </c>
      <c r="AS24" s="17">
        <v>0</v>
      </c>
      <c r="AT24" s="17">
        <v>0</v>
      </c>
      <c r="AU24" s="17">
        <v>3.9348900000000002</v>
      </c>
      <c r="AV24" s="17">
        <v>0</v>
      </c>
      <c r="AW24" s="17">
        <v>0</v>
      </c>
      <c r="AX24" s="17">
        <v>0</v>
      </c>
      <c r="AY24" s="17">
        <v>0</v>
      </c>
      <c r="AZ24" s="17">
        <v>0</v>
      </c>
      <c r="BA24" s="17">
        <v>0</v>
      </c>
      <c r="BB24" s="17">
        <v>0</v>
      </c>
      <c r="BC24" s="17">
        <v>0</v>
      </c>
      <c r="BD24" s="17">
        <v>0</v>
      </c>
      <c r="BE24" s="17">
        <v>0</v>
      </c>
      <c r="BF24" s="17">
        <v>15.483359312100001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7">
        <v>0</v>
      </c>
      <c r="BN24" s="17">
        <v>0</v>
      </c>
      <c r="BO24" s="17">
        <v>0</v>
      </c>
      <c r="BP24" s="17">
        <v>0</v>
      </c>
      <c r="BQ24" s="17">
        <v>0</v>
      </c>
      <c r="BR24" s="17">
        <v>0</v>
      </c>
      <c r="BS24" s="17">
        <v>0</v>
      </c>
      <c r="BT24" s="17">
        <v>0</v>
      </c>
      <c r="BU24" s="17">
        <v>0</v>
      </c>
      <c r="BV24" s="17">
        <v>0</v>
      </c>
      <c r="BW24" s="17">
        <v>0</v>
      </c>
      <c r="BX24" s="17">
        <v>0</v>
      </c>
      <c r="BY24" s="17">
        <v>0</v>
      </c>
      <c r="BZ24" s="17">
        <v>0</v>
      </c>
      <c r="CA24" s="17">
        <v>0</v>
      </c>
      <c r="CB24" s="17">
        <v>0</v>
      </c>
      <c r="CC24" s="17">
        <v>0</v>
      </c>
      <c r="CD24" s="17">
        <v>0</v>
      </c>
      <c r="CE24" s="17">
        <v>0</v>
      </c>
      <c r="CF24" s="17">
        <v>0</v>
      </c>
      <c r="CG24" s="17">
        <v>0</v>
      </c>
      <c r="CH24" s="17">
        <v>0</v>
      </c>
      <c r="CI24" s="17">
        <v>0</v>
      </c>
      <c r="CJ24" s="17">
        <v>0</v>
      </c>
      <c r="CK24" s="18">
        <v>0</v>
      </c>
    </row>
    <row r="25" spans="1:89">
      <c r="A25" s="5" t="s">
        <v>7</v>
      </c>
      <c r="B25" s="44" t="s">
        <v>8</v>
      </c>
      <c r="C25" s="6" t="s">
        <v>18</v>
      </c>
      <c r="D25" s="5">
        <v>10</v>
      </c>
      <c r="E25" s="31">
        <v>0.16377270516205863</v>
      </c>
      <c r="F25" s="38">
        <f t="shared" si="2"/>
        <v>2065.905774308796</v>
      </c>
      <c r="J25" s="44">
        <v>10</v>
      </c>
      <c r="K25" s="73">
        <v>2.6253000000000002</v>
      </c>
      <c r="L25" s="17">
        <f t="shared" si="0"/>
        <v>6.8922000900000011</v>
      </c>
      <c r="M25" s="52">
        <f t="shared" si="3"/>
        <v>0</v>
      </c>
      <c r="N25" s="18">
        <f t="shared" si="1"/>
        <v>0</v>
      </c>
      <c r="Q25" s="56">
        <v>0.17249256201333499</v>
      </c>
      <c r="R25" s="60">
        <v>1.4052003754404701E-2</v>
      </c>
      <c r="S25" s="16">
        <v>3</v>
      </c>
      <c r="T25" s="17">
        <v>2</v>
      </c>
      <c r="U25" s="18">
        <v>0.2</v>
      </c>
      <c r="W25" s="16">
        <v>0</v>
      </c>
      <c r="X25" s="17">
        <v>1</v>
      </c>
      <c r="Y25" s="17">
        <v>0</v>
      </c>
      <c r="Z25" s="17">
        <v>0</v>
      </c>
      <c r="AA25" s="17">
        <v>0</v>
      </c>
      <c r="AB25" s="17">
        <v>0</v>
      </c>
      <c r="AC25" s="17">
        <v>0</v>
      </c>
      <c r="AD25" s="17">
        <v>0</v>
      </c>
      <c r="AE25" s="17">
        <v>0</v>
      </c>
      <c r="AF25" s="17">
        <v>0</v>
      </c>
      <c r="AG25" s="18">
        <v>0</v>
      </c>
      <c r="AI25" s="16">
        <v>0</v>
      </c>
      <c r="AJ25" s="17">
        <v>1</v>
      </c>
      <c r="AK25" s="17">
        <v>0</v>
      </c>
      <c r="AL25" s="17">
        <v>0</v>
      </c>
      <c r="AM25" s="17">
        <v>0</v>
      </c>
      <c r="AN25" s="17">
        <v>0</v>
      </c>
      <c r="AO25" s="17">
        <v>0</v>
      </c>
      <c r="AP25" s="17">
        <v>0</v>
      </c>
      <c r="AQ25" s="17">
        <v>0</v>
      </c>
      <c r="AR25" s="17">
        <v>0</v>
      </c>
      <c r="AS25" s="17">
        <v>0</v>
      </c>
      <c r="AT25" s="17">
        <v>0</v>
      </c>
      <c r="AU25" s="17">
        <v>2.6253000000000002</v>
      </c>
      <c r="AV25" s="17">
        <v>0</v>
      </c>
      <c r="AW25" s="17">
        <v>0</v>
      </c>
      <c r="AX25" s="17">
        <v>0</v>
      </c>
      <c r="AY25" s="17">
        <v>0</v>
      </c>
      <c r="AZ25" s="17">
        <v>0</v>
      </c>
      <c r="BA25" s="17">
        <v>0</v>
      </c>
      <c r="BB25" s="17">
        <v>0</v>
      </c>
      <c r="BC25" s="17">
        <v>0</v>
      </c>
      <c r="BD25" s="17">
        <v>0</v>
      </c>
      <c r="BE25" s="17">
        <v>0</v>
      </c>
      <c r="BF25" s="17">
        <v>6.8922000900000011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7">
        <v>0</v>
      </c>
      <c r="BN25" s="17">
        <v>0</v>
      </c>
      <c r="BO25" s="17">
        <v>0</v>
      </c>
      <c r="BP25" s="17">
        <v>0</v>
      </c>
      <c r="BQ25" s="17">
        <v>0</v>
      </c>
      <c r="BR25" s="17">
        <v>0</v>
      </c>
      <c r="BS25" s="17">
        <v>0</v>
      </c>
      <c r="BT25" s="17">
        <v>0</v>
      </c>
      <c r="BU25" s="17">
        <v>0</v>
      </c>
      <c r="BV25" s="17">
        <v>0</v>
      </c>
      <c r="BW25" s="17">
        <v>0</v>
      </c>
      <c r="BX25" s="17">
        <v>0</v>
      </c>
      <c r="BY25" s="17">
        <v>0</v>
      </c>
      <c r="BZ25" s="17">
        <v>0</v>
      </c>
      <c r="CA25" s="17">
        <v>0</v>
      </c>
      <c r="CB25" s="17">
        <v>0</v>
      </c>
      <c r="CC25" s="17">
        <v>0</v>
      </c>
      <c r="CD25" s="17">
        <v>0</v>
      </c>
      <c r="CE25" s="17">
        <v>0</v>
      </c>
      <c r="CF25" s="17">
        <v>0</v>
      </c>
      <c r="CG25" s="17">
        <v>0</v>
      </c>
      <c r="CH25" s="17">
        <v>0</v>
      </c>
      <c r="CI25" s="17">
        <v>0</v>
      </c>
      <c r="CJ25" s="17">
        <v>0</v>
      </c>
      <c r="CK25" s="18">
        <v>0</v>
      </c>
    </row>
    <row r="26" spans="1:89">
      <c r="A26" s="5" t="s">
        <v>7</v>
      </c>
      <c r="B26" s="44" t="s">
        <v>8</v>
      </c>
      <c r="C26" s="6" t="s">
        <v>19</v>
      </c>
      <c r="D26" s="5">
        <v>11</v>
      </c>
      <c r="E26" s="31">
        <v>0.16908474917770902</v>
      </c>
      <c r="F26" s="38">
        <f t="shared" si="2"/>
        <v>2862.7123766563541</v>
      </c>
      <c r="J26" s="44">
        <v>11</v>
      </c>
      <c r="K26" s="73">
        <v>3.05986</v>
      </c>
      <c r="L26" s="17">
        <f t="shared" si="0"/>
        <v>9.3627432196000004</v>
      </c>
      <c r="M26" s="52">
        <f t="shared" si="3"/>
        <v>0</v>
      </c>
      <c r="N26" s="18">
        <f t="shared" si="1"/>
        <v>0</v>
      </c>
      <c r="Q26" s="56">
        <v>5.4655973379520703E-2</v>
      </c>
      <c r="R26" s="60">
        <v>1.9787568470961501E-2</v>
      </c>
      <c r="S26" s="16">
        <v>3</v>
      </c>
      <c r="T26" s="17">
        <v>4</v>
      </c>
      <c r="U26" s="18">
        <v>0.2</v>
      </c>
      <c r="W26" s="16">
        <v>0</v>
      </c>
      <c r="X26" s="17">
        <v>1</v>
      </c>
      <c r="Y26" s="17">
        <v>0</v>
      </c>
      <c r="Z26" s="17">
        <v>0</v>
      </c>
      <c r="AA26" s="17">
        <v>0</v>
      </c>
      <c r="AB26" s="17">
        <v>0</v>
      </c>
      <c r="AC26" s="17">
        <v>0</v>
      </c>
      <c r="AD26" s="17">
        <v>0</v>
      </c>
      <c r="AE26" s="17">
        <v>0</v>
      </c>
      <c r="AF26" s="17">
        <v>0</v>
      </c>
      <c r="AG26" s="18">
        <v>0</v>
      </c>
      <c r="AI26" s="16">
        <v>0</v>
      </c>
      <c r="AJ26" s="17">
        <v>1</v>
      </c>
      <c r="AK26" s="17">
        <v>0</v>
      </c>
      <c r="AL26" s="17">
        <v>0</v>
      </c>
      <c r="AM26" s="17">
        <v>0</v>
      </c>
      <c r="AN26" s="17">
        <v>0</v>
      </c>
      <c r="AO26" s="17">
        <v>0</v>
      </c>
      <c r="AP26" s="17">
        <v>0</v>
      </c>
      <c r="AQ26" s="17">
        <v>0</v>
      </c>
      <c r="AR26" s="17">
        <v>0</v>
      </c>
      <c r="AS26" s="17">
        <v>0</v>
      </c>
      <c r="AT26" s="17">
        <v>0</v>
      </c>
      <c r="AU26" s="17">
        <v>3.05986</v>
      </c>
      <c r="AV26" s="17">
        <v>0</v>
      </c>
      <c r="AW26" s="17">
        <v>0</v>
      </c>
      <c r="AX26" s="17">
        <v>0</v>
      </c>
      <c r="AY26" s="17">
        <v>0</v>
      </c>
      <c r="AZ26" s="17">
        <v>0</v>
      </c>
      <c r="BA26" s="17">
        <v>0</v>
      </c>
      <c r="BB26" s="17">
        <v>0</v>
      </c>
      <c r="BC26" s="17">
        <v>0</v>
      </c>
      <c r="BD26" s="17">
        <v>0</v>
      </c>
      <c r="BE26" s="17">
        <v>0</v>
      </c>
      <c r="BF26" s="17">
        <v>9.3627432196000004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7">
        <v>0</v>
      </c>
      <c r="BN26" s="17">
        <v>0</v>
      </c>
      <c r="BO26" s="17">
        <v>0</v>
      </c>
      <c r="BP26" s="17">
        <v>0</v>
      </c>
      <c r="BQ26" s="17">
        <v>0</v>
      </c>
      <c r="BR26" s="17">
        <v>0</v>
      </c>
      <c r="BS26" s="17">
        <v>0</v>
      </c>
      <c r="BT26" s="17">
        <v>0</v>
      </c>
      <c r="BU26" s="17">
        <v>0</v>
      </c>
      <c r="BV26" s="17">
        <v>0</v>
      </c>
      <c r="BW26" s="17">
        <v>0</v>
      </c>
      <c r="BX26" s="17">
        <v>0</v>
      </c>
      <c r="BY26" s="17">
        <v>0</v>
      </c>
      <c r="BZ26" s="17">
        <v>0</v>
      </c>
      <c r="CA26" s="17">
        <v>0</v>
      </c>
      <c r="CB26" s="17">
        <v>0</v>
      </c>
      <c r="CC26" s="17">
        <v>0</v>
      </c>
      <c r="CD26" s="17">
        <v>0</v>
      </c>
      <c r="CE26" s="17">
        <v>0</v>
      </c>
      <c r="CF26" s="17">
        <v>0</v>
      </c>
      <c r="CG26" s="17">
        <v>0</v>
      </c>
      <c r="CH26" s="17">
        <v>0</v>
      </c>
      <c r="CI26" s="17">
        <v>0</v>
      </c>
      <c r="CJ26" s="17">
        <v>0</v>
      </c>
      <c r="CK26" s="18">
        <v>0</v>
      </c>
    </row>
    <row r="27" spans="1:89">
      <c r="A27" s="5" t="s">
        <v>7</v>
      </c>
      <c r="B27" s="44" t="s">
        <v>8</v>
      </c>
      <c r="C27" s="6" t="s">
        <v>20</v>
      </c>
      <c r="D27" s="5">
        <v>12</v>
      </c>
      <c r="E27" s="31">
        <v>0.17188151295103363</v>
      </c>
      <c r="F27" s="38">
        <f t="shared" si="2"/>
        <v>3282.2269426550451</v>
      </c>
      <c r="J27" s="44">
        <v>12</v>
      </c>
      <c r="K27" s="73">
        <v>3.4192</v>
      </c>
      <c r="L27" s="17">
        <f t="shared" si="0"/>
        <v>11.690928640000001</v>
      </c>
      <c r="M27" s="52">
        <f t="shared" si="3"/>
        <v>0</v>
      </c>
      <c r="N27" s="18">
        <f t="shared" si="1"/>
        <v>0</v>
      </c>
      <c r="Q27" s="56">
        <v>1.78246531617236E-3</v>
      </c>
      <c r="R27" s="60">
        <v>2.2912134404261899E-2</v>
      </c>
      <c r="S27" s="16">
        <v>3</v>
      </c>
      <c r="T27" s="17">
        <v>8</v>
      </c>
      <c r="U27" s="18">
        <v>0.2</v>
      </c>
      <c r="W27" s="16">
        <v>0</v>
      </c>
      <c r="X27" s="17">
        <v>1</v>
      </c>
      <c r="Y27" s="17">
        <v>0</v>
      </c>
      <c r="Z27" s="17">
        <v>0</v>
      </c>
      <c r="AA27" s="17">
        <v>0</v>
      </c>
      <c r="AB27" s="17">
        <v>0</v>
      </c>
      <c r="AC27" s="17">
        <v>0</v>
      </c>
      <c r="AD27" s="17">
        <v>0</v>
      </c>
      <c r="AE27" s="17">
        <v>0</v>
      </c>
      <c r="AF27" s="17">
        <v>0</v>
      </c>
      <c r="AG27" s="18">
        <v>0</v>
      </c>
      <c r="AI27" s="16">
        <v>0</v>
      </c>
      <c r="AJ27" s="17">
        <v>1</v>
      </c>
      <c r="AK27" s="17">
        <v>0</v>
      </c>
      <c r="AL27" s="17">
        <v>0</v>
      </c>
      <c r="AM27" s="17">
        <v>0</v>
      </c>
      <c r="AN27" s="17">
        <v>0</v>
      </c>
      <c r="AO27" s="17">
        <v>0</v>
      </c>
      <c r="AP27" s="17">
        <v>0</v>
      </c>
      <c r="AQ27" s="17">
        <v>0</v>
      </c>
      <c r="AR27" s="17">
        <v>0</v>
      </c>
      <c r="AS27" s="17">
        <v>0</v>
      </c>
      <c r="AT27" s="17">
        <v>0</v>
      </c>
      <c r="AU27" s="17">
        <v>3.4192</v>
      </c>
      <c r="AV27" s="17">
        <v>0</v>
      </c>
      <c r="AW27" s="17">
        <v>0</v>
      </c>
      <c r="AX27" s="17">
        <v>0</v>
      </c>
      <c r="AY27" s="17">
        <v>0</v>
      </c>
      <c r="AZ27" s="17">
        <v>0</v>
      </c>
      <c r="BA27" s="17">
        <v>0</v>
      </c>
      <c r="BB27" s="17">
        <v>0</v>
      </c>
      <c r="BC27" s="17">
        <v>0</v>
      </c>
      <c r="BD27" s="17">
        <v>0</v>
      </c>
      <c r="BE27" s="17">
        <v>0</v>
      </c>
      <c r="BF27" s="17">
        <v>11.690928640000001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7">
        <v>0</v>
      </c>
      <c r="BN27" s="17">
        <v>0</v>
      </c>
      <c r="BO27" s="17">
        <v>0</v>
      </c>
      <c r="BP27" s="17">
        <v>0</v>
      </c>
      <c r="BQ27" s="17">
        <v>0</v>
      </c>
      <c r="BR27" s="17">
        <v>0</v>
      </c>
      <c r="BS27" s="17">
        <v>0</v>
      </c>
      <c r="BT27" s="17">
        <v>0</v>
      </c>
      <c r="BU27" s="17">
        <v>0</v>
      </c>
      <c r="BV27" s="17">
        <v>0</v>
      </c>
      <c r="BW27" s="17">
        <v>0</v>
      </c>
      <c r="BX27" s="17">
        <v>0</v>
      </c>
      <c r="BY27" s="17">
        <v>0</v>
      </c>
      <c r="BZ27" s="17">
        <v>0</v>
      </c>
      <c r="CA27" s="17">
        <v>0</v>
      </c>
      <c r="CB27" s="17">
        <v>0</v>
      </c>
      <c r="CC27" s="17">
        <v>0</v>
      </c>
      <c r="CD27" s="17">
        <v>0</v>
      </c>
      <c r="CE27" s="17">
        <v>0</v>
      </c>
      <c r="CF27" s="17">
        <v>0</v>
      </c>
      <c r="CG27" s="17">
        <v>0</v>
      </c>
      <c r="CH27" s="17">
        <v>0</v>
      </c>
      <c r="CI27" s="17">
        <v>0</v>
      </c>
      <c r="CJ27" s="17">
        <v>0</v>
      </c>
      <c r="CK27" s="18">
        <v>0</v>
      </c>
    </row>
    <row r="28" spans="1:89">
      <c r="A28" s="5" t="s">
        <v>7</v>
      </c>
      <c r="B28" s="44" t="s">
        <v>8</v>
      </c>
      <c r="C28" s="6" t="s">
        <v>21</v>
      </c>
      <c r="D28" s="5">
        <v>13</v>
      </c>
      <c r="E28" s="31">
        <v>0.16369097059143917</v>
      </c>
      <c r="F28" s="38">
        <f t="shared" si="2"/>
        <v>2053.6455887158759</v>
      </c>
      <c r="J28" s="44">
        <v>13</v>
      </c>
      <c r="K28" s="73">
        <v>2.8428200000000001</v>
      </c>
      <c r="L28" s="17">
        <f t="shared" si="0"/>
        <v>8.0816255524000002</v>
      </c>
      <c r="M28" s="52">
        <f t="shared" si="3"/>
        <v>0</v>
      </c>
      <c r="N28" s="18">
        <f t="shared" si="1"/>
        <v>0</v>
      </c>
      <c r="Q28" s="57">
        <v>-1.24396475374294E-3</v>
      </c>
      <c r="R28" s="60">
        <v>1.42208399069556E-2</v>
      </c>
      <c r="S28" s="16">
        <v>3</v>
      </c>
      <c r="T28" s="17">
        <v>10</v>
      </c>
      <c r="U28" s="18">
        <v>0.2</v>
      </c>
      <c r="W28" s="16">
        <v>0</v>
      </c>
      <c r="X28" s="17">
        <v>1</v>
      </c>
      <c r="Y28" s="17">
        <v>0</v>
      </c>
      <c r="Z28" s="17">
        <v>0</v>
      </c>
      <c r="AA28" s="17">
        <v>0</v>
      </c>
      <c r="AB28" s="17">
        <v>0</v>
      </c>
      <c r="AC28" s="17">
        <v>0</v>
      </c>
      <c r="AD28" s="17">
        <v>0</v>
      </c>
      <c r="AE28" s="17">
        <v>0</v>
      </c>
      <c r="AF28" s="17">
        <v>0</v>
      </c>
      <c r="AG28" s="18">
        <v>0</v>
      </c>
      <c r="AI28" s="16">
        <v>0</v>
      </c>
      <c r="AJ28" s="17">
        <v>1</v>
      </c>
      <c r="AK28" s="17">
        <v>0</v>
      </c>
      <c r="AL28" s="17">
        <v>0</v>
      </c>
      <c r="AM28" s="17">
        <v>0</v>
      </c>
      <c r="AN28" s="17">
        <v>0</v>
      </c>
      <c r="AO28" s="17">
        <v>0</v>
      </c>
      <c r="AP28" s="17">
        <v>0</v>
      </c>
      <c r="AQ28" s="17">
        <v>0</v>
      </c>
      <c r="AR28" s="17">
        <v>0</v>
      </c>
      <c r="AS28" s="17">
        <v>0</v>
      </c>
      <c r="AT28" s="17">
        <v>0</v>
      </c>
      <c r="AU28" s="17">
        <v>2.8428200000000001</v>
      </c>
      <c r="AV28" s="17">
        <v>0</v>
      </c>
      <c r="AW28" s="17">
        <v>0</v>
      </c>
      <c r="AX28" s="17">
        <v>0</v>
      </c>
      <c r="AY28" s="17">
        <v>0</v>
      </c>
      <c r="AZ28" s="17">
        <v>0</v>
      </c>
      <c r="BA28" s="17">
        <v>0</v>
      </c>
      <c r="BB28" s="17">
        <v>0</v>
      </c>
      <c r="BC28" s="17">
        <v>0</v>
      </c>
      <c r="BD28" s="17">
        <v>0</v>
      </c>
      <c r="BE28" s="17">
        <v>0</v>
      </c>
      <c r="BF28" s="17">
        <v>8.0816255524000002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7">
        <v>0</v>
      </c>
      <c r="BN28" s="17">
        <v>0</v>
      </c>
      <c r="BO28" s="17">
        <v>0</v>
      </c>
      <c r="BP28" s="17">
        <v>0</v>
      </c>
      <c r="BQ28" s="17">
        <v>0</v>
      </c>
      <c r="BR28" s="17">
        <v>0</v>
      </c>
      <c r="BS28" s="17">
        <v>0</v>
      </c>
      <c r="BT28" s="17">
        <v>0</v>
      </c>
      <c r="BU28" s="17">
        <v>0</v>
      </c>
      <c r="BV28" s="17">
        <v>0</v>
      </c>
      <c r="BW28" s="17">
        <v>0</v>
      </c>
      <c r="BX28" s="17">
        <v>0</v>
      </c>
      <c r="BY28" s="17">
        <v>0</v>
      </c>
      <c r="BZ28" s="17">
        <v>0</v>
      </c>
      <c r="CA28" s="17">
        <v>0</v>
      </c>
      <c r="CB28" s="17">
        <v>0</v>
      </c>
      <c r="CC28" s="17">
        <v>0</v>
      </c>
      <c r="CD28" s="17">
        <v>0</v>
      </c>
      <c r="CE28" s="17">
        <v>0</v>
      </c>
      <c r="CF28" s="17">
        <v>0</v>
      </c>
      <c r="CG28" s="17">
        <v>0</v>
      </c>
      <c r="CH28" s="17">
        <v>0</v>
      </c>
      <c r="CI28" s="17">
        <v>0</v>
      </c>
      <c r="CJ28" s="17">
        <v>0</v>
      </c>
      <c r="CK28" s="18">
        <v>0</v>
      </c>
    </row>
    <row r="29" spans="1:89">
      <c r="A29" s="5" t="s">
        <v>7</v>
      </c>
      <c r="B29" s="44" t="s">
        <v>8</v>
      </c>
      <c r="C29" s="6" t="s">
        <v>22</v>
      </c>
      <c r="D29" s="5">
        <v>14</v>
      </c>
      <c r="E29" s="31">
        <v>0.16312310383058237</v>
      </c>
      <c r="F29" s="38">
        <f t="shared" si="2"/>
        <v>1968.4655745873567</v>
      </c>
      <c r="J29" s="44">
        <v>14</v>
      </c>
      <c r="K29" s="73">
        <v>1.2616700000000001</v>
      </c>
      <c r="L29" s="17">
        <f t="shared" si="0"/>
        <v>1.5918111889000002</v>
      </c>
      <c r="M29" s="52">
        <f t="shared" si="3"/>
        <v>0</v>
      </c>
      <c r="N29" s="18">
        <f t="shared" si="1"/>
        <v>0</v>
      </c>
      <c r="Q29" s="56">
        <v>-7.0236818708804601E-3</v>
      </c>
      <c r="R29" s="60">
        <v>1.2053136654398699E-2</v>
      </c>
      <c r="S29" s="16">
        <v>3</v>
      </c>
      <c r="T29" s="17">
        <v>13</v>
      </c>
      <c r="U29" s="18">
        <v>0.2</v>
      </c>
      <c r="W29" s="16">
        <v>0</v>
      </c>
      <c r="X29" s="17">
        <v>1</v>
      </c>
      <c r="Y29" s="17">
        <v>0</v>
      </c>
      <c r="Z29" s="17">
        <v>0</v>
      </c>
      <c r="AA29" s="17">
        <v>0</v>
      </c>
      <c r="AB29" s="17">
        <v>0</v>
      </c>
      <c r="AC29" s="17">
        <v>0</v>
      </c>
      <c r="AD29" s="17">
        <v>0</v>
      </c>
      <c r="AE29" s="17">
        <v>0</v>
      </c>
      <c r="AF29" s="17">
        <v>0</v>
      </c>
      <c r="AG29" s="18">
        <v>0</v>
      </c>
      <c r="AI29" s="16">
        <v>0</v>
      </c>
      <c r="AJ29" s="17">
        <v>1</v>
      </c>
      <c r="AK29" s="17">
        <v>0</v>
      </c>
      <c r="AL29" s="17">
        <v>0</v>
      </c>
      <c r="AM29" s="17">
        <v>0</v>
      </c>
      <c r="AN29" s="17">
        <v>0</v>
      </c>
      <c r="AO29" s="17">
        <v>0</v>
      </c>
      <c r="AP29" s="17">
        <v>0</v>
      </c>
      <c r="AQ29" s="17">
        <v>0</v>
      </c>
      <c r="AR29" s="17">
        <v>0</v>
      </c>
      <c r="AS29" s="17">
        <v>0</v>
      </c>
      <c r="AT29" s="17">
        <v>0</v>
      </c>
      <c r="AU29" s="17">
        <v>1.2616700000000001</v>
      </c>
      <c r="AV29" s="17">
        <v>0</v>
      </c>
      <c r="AW29" s="17">
        <v>0</v>
      </c>
      <c r="AX29" s="17">
        <v>0</v>
      </c>
      <c r="AY29" s="17">
        <v>0</v>
      </c>
      <c r="AZ29" s="17">
        <v>0</v>
      </c>
      <c r="BA29" s="17">
        <v>0</v>
      </c>
      <c r="BB29" s="17">
        <v>0</v>
      </c>
      <c r="BC29" s="17">
        <v>0</v>
      </c>
      <c r="BD29" s="17">
        <v>0</v>
      </c>
      <c r="BE29" s="17">
        <v>0</v>
      </c>
      <c r="BF29" s="17">
        <v>1.5918111889000002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7">
        <v>0</v>
      </c>
      <c r="BM29" s="17">
        <v>0</v>
      </c>
      <c r="BN29" s="17">
        <v>0</v>
      </c>
      <c r="BO29" s="17">
        <v>0</v>
      </c>
      <c r="BP29" s="17">
        <v>0</v>
      </c>
      <c r="BQ29" s="17">
        <v>0</v>
      </c>
      <c r="BR29" s="17">
        <v>0</v>
      </c>
      <c r="BS29" s="17">
        <v>0</v>
      </c>
      <c r="BT29" s="17">
        <v>0</v>
      </c>
      <c r="BU29" s="17">
        <v>0</v>
      </c>
      <c r="BV29" s="17">
        <v>0</v>
      </c>
      <c r="BW29" s="17">
        <v>0</v>
      </c>
      <c r="BX29" s="17">
        <v>0</v>
      </c>
      <c r="BY29" s="17">
        <v>0</v>
      </c>
      <c r="BZ29" s="17">
        <v>0</v>
      </c>
      <c r="CA29" s="17">
        <v>0</v>
      </c>
      <c r="CB29" s="17">
        <v>0</v>
      </c>
      <c r="CC29" s="17">
        <v>0</v>
      </c>
      <c r="CD29" s="17">
        <v>0</v>
      </c>
      <c r="CE29" s="17">
        <v>0</v>
      </c>
      <c r="CF29" s="17">
        <v>0</v>
      </c>
      <c r="CG29" s="17">
        <v>0</v>
      </c>
      <c r="CH29" s="17">
        <v>0</v>
      </c>
      <c r="CI29" s="17">
        <v>0</v>
      </c>
      <c r="CJ29" s="17">
        <v>0</v>
      </c>
      <c r="CK29" s="18">
        <v>0</v>
      </c>
    </row>
    <row r="30" spans="1:89">
      <c r="A30" s="5" t="s">
        <v>23</v>
      </c>
      <c r="B30" s="44" t="s">
        <v>24</v>
      </c>
      <c r="C30" s="6" t="s">
        <v>25</v>
      </c>
      <c r="D30" s="5">
        <v>15</v>
      </c>
      <c r="E30" s="31">
        <v>0.19018318742916404</v>
      </c>
      <c r="F30" s="38">
        <f t="shared" si="2"/>
        <v>6027.4781143746068</v>
      </c>
      <c r="J30" s="44">
        <v>15</v>
      </c>
      <c r="K30" s="73">
        <v>-3.5491299999999999</v>
      </c>
      <c r="L30" s="17">
        <f t="shared" si="0"/>
        <v>12.596323756899999</v>
      </c>
      <c r="M30" s="52">
        <f t="shared" si="3"/>
        <v>0</v>
      </c>
      <c r="N30" s="18">
        <f t="shared" si="1"/>
        <v>0</v>
      </c>
      <c r="Q30" s="56">
        <v>-2.2519495475658499E-2</v>
      </c>
      <c r="R30" s="60">
        <v>3.3884234663066302E-2</v>
      </c>
      <c r="S30" s="16">
        <v>4</v>
      </c>
      <c r="T30" s="17">
        <v>2</v>
      </c>
      <c r="U30" s="18">
        <v>0.2</v>
      </c>
      <c r="W30" s="16">
        <v>0</v>
      </c>
      <c r="X30" s="17">
        <v>0</v>
      </c>
      <c r="Y30" s="17">
        <v>1</v>
      </c>
      <c r="Z30" s="17">
        <v>0</v>
      </c>
      <c r="AA30" s="17">
        <v>0</v>
      </c>
      <c r="AB30" s="17">
        <v>0</v>
      </c>
      <c r="AC30" s="17">
        <v>0</v>
      </c>
      <c r="AD30" s="17">
        <v>0</v>
      </c>
      <c r="AE30" s="17">
        <v>0</v>
      </c>
      <c r="AF30" s="17">
        <v>0</v>
      </c>
      <c r="AG30" s="18">
        <v>0</v>
      </c>
      <c r="AI30" s="16">
        <v>0</v>
      </c>
      <c r="AJ30" s="17">
        <v>0</v>
      </c>
      <c r="AK30" s="17">
        <v>1</v>
      </c>
      <c r="AL30" s="17">
        <v>0</v>
      </c>
      <c r="AM30" s="17">
        <v>0</v>
      </c>
      <c r="AN30" s="17">
        <v>0</v>
      </c>
      <c r="AO30" s="17">
        <v>0</v>
      </c>
      <c r="AP30" s="17">
        <v>0</v>
      </c>
      <c r="AQ30" s="17">
        <v>0</v>
      </c>
      <c r="AR30" s="17">
        <v>0</v>
      </c>
      <c r="AS30" s="17">
        <v>0</v>
      </c>
      <c r="AT30" s="17">
        <v>0</v>
      </c>
      <c r="AU30" s="17">
        <v>0</v>
      </c>
      <c r="AV30" s="17">
        <v>-3.5491299999999999</v>
      </c>
      <c r="AW30" s="17">
        <v>0</v>
      </c>
      <c r="AX30" s="17">
        <v>0</v>
      </c>
      <c r="AY30" s="17">
        <v>0</v>
      </c>
      <c r="AZ30" s="17">
        <v>0</v>
      </c>
      <c r="BA30" s="17">
        <v>0</v>
      </c>
      <c r="BB30" s="17">
        <v>0</v>
      </c>
      <c r="BC30" s="17">
        <v>0</v>
      </c>
      <c r="BD30" s="17">
        <v>0</v>
      </c>
      <c r="BE30" s="17">
        <v>0</v>
      </c>
      <c r="BF30" s="17">
        <v>0</v>
      </c>
      <c r="BG30" s="17">
        <v>12.596323756899999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7">
        <v>0</v>
      </c>
      <c r="BN30" s="17">
        <v>0</v>
      </c>
      <c r="BO30" s="17">
        <v>0</v>
      </c>
      <c r="BP30" s="17">
        <v>0</v>
      </c>
      <c r="BQ30" s="17">
        <v>0</v>
      </c>
      <c r="BR30" s="17">
        <v>0</v>
      </c>
      <c r="BS30" s="17">
        <v>0</v>
      </c>
      <c r="BT30" s="17">
        <v>0</v>
      </c>
      <c r="BU30" s="17">
        <v>0</v>
      </c>
      <c r="BV30" s="17">
        <v>0</v>
      </c>
      <c r="BW30" s="17">
        <v>0</v>
      </c>
      <c r="BX30" s="17">
        <v>0</v>
      </c>
      <c r="BY30" s="17">
        <v>0</v>
      </c>
      <c r="BZ30" s="17">
        <v>0</v>
      </c>
      <c r="CA30" s="17">
        <v>0</v>
      </c>
      <c r="CB30" s="17">
        <v>0</v>
      </c>
      <c r="CC30" s="17">
        <v>0</v>
      </c>
      <c r="CD30" s="17">
        <v>0</v>
      </c>
      <c r="CE30" s="17">
        <v>0</v>
      </c>
      <c r="CF30" s="17">
        <v>0</v>
      </c>
      <c r="CG30" s="17">
        <v>0</v>
      </c>
      <c r="CH30" s="17">
        <v>0</v>
      </c>
      <c r="CI30" s="17">
        <v>0</v>
      </c>
      <c r="CJ30" s="17">
        <v>0</v>
      </c>
      <c r="CK30" s="18">
        <v>0</v>
      </c>
    </row>
    <row r="31" spans="1:89">
      <c r="A31" s="5" t="s">
        <v>23</v>
      </c>
      <c r="B31" s="44" t="s">
        <v>24</v>
      </c>
      <c r="C31" s="6" t="s">
        <v>26</v>
      </c>
      <c r="D31" s="5">
        <v>16</v>
      </c>
      <c r="E31" s="31">
        <v>0.20569956637266523</v>
      </c>
      <c r="F31" s="38">
        <f t="shared" si="2"/>
        <v>8354.9349558997856</v>
      </c>
      <c r="J31" s="44">
        <v>16</v>
      </c>
      <c r="K31" s="73">
        <v>-5.2048300000000003</v>
      </c>
      <c r="L31" s="17">
        <f t="shared" si="0"/>
        <v>27.090255328900003</v>
      </c>
      <c r="M31" s="52">
        <f t="shared" si="3"/>
        <v>0</v>
      </c>
      <c r="N31" s="18">
        <f t="shared" si="1"/>
        <v>0</v>
      </c>
      <c r="Q31" s="57">
        <v>-3.0948829548516099E-3</v>
      </c>
      <c r="R31" s="60">
        <v>3.4807700579480801E-2</v>
      </c>
      <c r="S31" s="16">
        <v>4</v>
      </c>
      <c r="T31" s="17">
        <v>3</v>
      </c>
      <c r="U31" s="18">
        <v>0.2</v>
      </c>
      <c r="W31" s="16">
        <v>0</v>
      </c>
      <c r="X31" s="17">
        <v>0</v>
      </c>
      <c r="Y31" s="17">
        <v>1</v>
      </c>
      <c r="Z31" s="17">
        <v>0</v>
      </c>
      <c r="AA31" s="17">
        <v>0</v>
      </c>
      <c r="AB31" s="17">
        <v>0</v>
      </c>
      <c r="AC31" s="17">
        <v>0</v>
      </c>
      <c r="AD31" s="17">
        <v>0</v>
      </c>
      <c r="AE31" s="17">
        <v>0</v>
      </c>
      <c r="AF31" s="17">
        <v>0</v>
      </c>
      <c r="AG31" s="18">
        <v>0</v>
      </c>
      <c r="AI31" s="16">
        <v>0</v>
      </c>
      <c r="AJ31" s="17">
        <v>0</v>
      </c>
      <c r="AK31" s="17">
        <v>1</v>
      </c>
      <c r="AL31" s="17">
        <v>0</v>
      </c>
      <c r="AM31" s="17">
        <v>0</v>
      </c>
      <c r="AN31" s="17">
        <v>0</v>
      </c>
      <c r="AO31" s="17">
        <v>0</v>
      </c>
      <c r="AP31" s="17">
        <v>0</v>
      </c>
      <c r="AQ31" s="17">
        <v>0</v>
      </c>
      <c r="AR31" s="17">
        <v>0</v>
      </c>
      <c r="AS31" s="17">
        <v>0</v>
      </c>
      <c r="AT31" s="17">
        <v>0</v>
      </c>
      <c r="AU31" s="17">
        <v>0</v>
      </c>
      <c r="AV31" s="17">
        <v>-5.2048300000000003</v>
      </c>
      <c r="AW31" s="17">
        <v>0</v>
      </c>
      <c r="AX31" s="17">
        <v>0</v>
      </c>
      <c r="AY31" s="17">
        <v>0</v>
      </c>
      <c r="AZ31" s="17">
        <v>0</v>
      </c>
      <c r="BA31" s="17">
        <v>0</v>
      </c>
      <c r="BB31" s="17">
        <v>0</v>
      </c>
      <c r="BC31" s="17">
        <v>0</v>
      </c>
      <c r="BD31" s="17">
        <v>0</v>
      </c>
      <c r="BE31" s="17">
        <v>0</v>
      </c>
      <c r="BF31" s="17">
        <v>0</v>
      </c>
      <c r="BG31" s="17">
        <v>27.090255328900003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7">
        <v>0</v>
      </c>
      <c r="BN31" s="17">
        <v>0</v>
      </c>
      <c r="BO31" s="17">
        <v>0</v>
      </c>
      <c r="BP31" s="17">
        <v>0</v>
      </c>
      <c r="BQ31" s="17">
        <v>0</v>
      </c>
      <c r="BR31" s="17">
        <v>0</v>
      </c>
      <c r="BS31" s="17">
        <v>0</v>
      </c>
      <c r="BT31" s="17">
        <v>0</v>
      </c>
      <c r="BU31" s="17">
        <v>0</v>
      </c>
      <c r="BV31" s="17">
        <v>0</v>
      </c>
      <c r="BW31" s="17">
        <v>0</v>
      </c>
      <c r="BX31" s="17">
        <v>0</v>
      </c>
      <c r="BY31" s="17">
        <v>0</v>
      </c>
      <c r="BZ31" s="17">
        <v>0</v>
      </c>
      <c r="CA31" s="17">
        <v>0</v>
      </c>
      <c r="CB31" s="17">
        <v>0</v>
      </c>
      <c r="CC31" s="17">
        <v>0</v>
      </c>
      <c r="CD31" s="17">
        <v>0</v>
      </c>
      <c r="CE31" s="17">
        <v>0</v>
      </c>
      <c r="CF31" s="17">
        <v>0</v>
      </c>
      <c r="CG31" s="17">
        <v>0</v>
      </c>
      <c r="CH31" s="17">
        <v>0</v>
      </c>
      <c r="CI31" s="17">
        <v>0</v>
      </c>
      <c r="CJ31" s="17">
        <v>0</v>
      </c>
      <c r="CK31" s="18">
        <v>0</v>
      </c>
    </row>
    <row r="32" spans="1:89">
      <c r="A32" s="5" t="s">
        <v>23</v>
      </c>
      <c r="B32" s="44" t="s">
        <v>24</v>
      </c>
      <c r="C32" s="6" t="s">
        <v>27</v>
      </c>
      <c r="D32" s="5">
        <v>17</v>
      </c>
      <c r="E32" s="31">
        <v>0.21411110162673846</v>
      </c>
      <c r="F32" s="38">
        <f t="shared" si="2"/>
        <v>9616.66524401077</v>
      </c>
      <c r="J32" s="44">
        <v>17</v>
      </c>
      <c r="K32" s="73">
        <v>-6.2641</v>
      </c>
      <c r="L32" s="17">
        <f t="shared" si="0"/>
        <v>39.238948809999997</v>
      </c>
      <c r="M32" s="52">
        <f t="shared" si="3"/>
        <v>0</v>
      </c>
      <c r="N32" s="18">
        <f t="shared" si="1"/>
        <v>0</v>
      </c>
      <c r="Q32" s="56">
        <v>-5.9282932263186802E-3</v>
      </c>
      <c r="R32" s="60">
        <v>2.5136091958187501E-2</v>
      </c>
      <c r="S32" s="16">
        <v>4</v>
      </c>
      <c r="T32" s="17">
        <v>5</v>
      </c>
      <c r="U32" s="18">
        <v>0.2</v>
      </c>
      <c r="W32" s="16">
        <v>0</v>
      </c>
      <c r="X32" s="17">
        <v>0</v>
      </c>
      <c r="Y32" s="17">
        <v>1</v>
      </c>
      <c r="Z32" s="17">
        <v>0</v>
      </c>
      <c r="AA32" s="17">
        <v>0</v>
      </c>
      <c r="AB32" s="17">
        <v>0</v>
      </c>
      <c r="AC32" s="17">
        <v>0</v>
      </c>
      <c r="AD32" s="17">
        <v>0</v>
      </c>
      <c r="AE32" s="17">
        <v>0</v>
      </c>
      <c r="AF32" s="17">
        <v>0</v>
      </c>
      <c r="AG32" s="18">
        <v>0</v>
      </c>
      <c r="AI32" s="16">
        <v>0</v>
      </c>
      <c r="AJ32" s="17">
        <v>0</v>
      </c>
      <c r="AK32" s="17">
        <v>1</v>
      </c>
      <c r="AL32" s="17">
        <v>0</v>
      </c>
      <c r="AM32" s="17">
        <v>0</v>
      </c>
      <c r="AN32" s="17">
        <v>0</v>
      </c>
      <c r="AO32" s="17">
        <v>0</v>
      </c>
      <c r="AP32" s="17">
        <v>0</v>
      </c>
      <c r="AQ32" s="17">
        <v>0</v>
      </c>
      <c r="AR32" s="17">
        <v>0</v>
      </c>
      <c r="AS32" s="17">
        <v>0</v>
      </c>
      <c r="AT32" s="17">
        <v>0</v>
      </c>
      <c r="AU32" s="17">
        <v>0</v>
      </c>
      <c r="AV32" s="17">
        <v>-6.2641</v>
      </c>
      <c r="AW32" s="17">
        <v>0</v>
      </c>
      <c r="AX32" s="17">
        <v>0</v>
      </c>
      <c r="AY32" s="17">
        <v>0</v>
      </c>
      <c r="AZ32" s="17">
        <v>0</v>
      </c>
      <c r="BA32" s="17">
        <v>0</v>
      </c>
      <c r="BB32" s="17">
        <v>0</v>
      </c>
      <c r="BC32" s="17">
        <v>0</v>
      </c>
      <c r="BD32" s="17">
        <v>0</v>
      </c>
      <c r="BE32" s="17">
        <v>0</v>
      </c>
      <c r="BF32" s="17">
        <v>0</v>
      </c>
      <c r="BG32" s="17">
        <v>39.238948809999997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7">
        <v>0</v>
      </c>
      <c r="BN32" s="17">
        <v>0</v>
      </c>
      <c r="BO32" s="17">
        <v>0</v>
      </c>
      <c r="BP32" s="17">
        <v>0</v>
      </c>
      <c r="BQ32" s="17">
        <v>0</v>
      </c>
      <c r="BR32" s="17">
        <v>0</v>
      </c>
      <c r="BS32" s="17">
        <v>0</v>
      </c>
      <c r="BT32" s="17">
        <v>0</v>
      </c>
      <c r="BU32" s="17">
        <v>0</v>
      </c>
      <c r="BV32" s="17">
        <v>0</v>
      </c>
      <c r="BW32" s="17">
        <v>0</v>
      </c>
      <c r="BX32" s="17">
        <v>0</v>
      </c>
      <c r="BY32" s="17">
        <v>0</v>
      </c>
      <c r="BZ32" s="17">
        <v>0</v>
      </c>
      <c r="CA32" s="17">
        <v>0</v>
      </c>
      <c r="CB32" s="17">
        <v>0</v>
      </c>
      <c r="CC32" s="17">
        <v>0</v>
      </c>
      <c r="CD32" s="17">
        <v>0</v>
      </c>
      <c r="CE32" s="17">
        <v>0</v>
      </c>
      <c r="CF32" s="17">
        <v>0</v>
      </c>
      <c r="CG32" s="17">
        <v>0</v>
      </c>
      <c r="CH32" s="17">
        <v>0</v>
      </c>
      <c r="CI32" s="17">
        <v>0</v>
      </c>
      <c r="CJ32" s="17">
        <v>0</v>
      </c>
      <c r="CK32" s="18">
        <v>0</v>
      </c>
    </row>
    <row r="33" spans="1:89">
      <c r="A33" s="5" t="s">
        <v>23</v>
      </c>
      <c r="B33" s="44" t="s">
        <v>24</v>
      </c>
      <c r="C33" s="6" t="s">
        <v>28</v>
      </c>
      <c r="D33" s="5">
        <v>18</v>
      </c>
      <c r="E33" s="31">
        <v>0.21220410302723658</v>
      </c>
      <c r="F33" s="38">
        <f t="shared" si="2"/>
        <v>9330.6154540854877</v>
      </c>
      <c r="J33" s="44">
        <v>18</v>
      </c>
      <c r="K33" s="73">
        <v>-4.9024599999999996</v>
      </c>
      <c r="L33" s="17">
        <f t="shared" si="0"/>
        <v>24.034114051599996</v>
      </c>
      <c r="M33" s="52">
        <f t="shared" si="3"/>
        <v>0</v>
      </c>
      <c r="N33" s="18">
        <f t="shared" si="1"/>
        <v>0</v>
      </c>
      <c r="Q33" s="56">
        <v>-7.5711325837453398E-3</v>
      </c>
      <c r="R33" s="60">
        <v>4.3159507599723597E-2</v>
      </c>
      <c r="S33" s="16">
        <v>4</v>
      </c>
      <c r="T33" s="17">
        <v>9</v>
      </c>
      <c r="U33" s="18">
        <v>0.2</v>
      </c>
      <c r="W33" s="16">
        <v>0</v>
      </c>
      <c r="X33" s="17">
        <v>0</v>
      </c>
      <c r="Y33" s="17">
        <v>1</v>
      </c>
      <c r="Z33" s="17">
        <v>0</v>
      </c>
      <c r="AA33" s="17">
        <v>0</v>
      </c>
      <c r="AB33" s="17">
        <v>0</v>
      </c>
      <c r="AC33" s="17">
        <v>0</v>
      </c>
      <c r="AD33" s="17">
        <v>0</v>
      </c>
      <c r="AE33" s="17">
        <v>0</v>
      </c>
      <c r="AF33" s="17">
        <v>0</v>
      </c>
      <c r="AG33" s="18">
        <v>0</v>
      </c>
      <c r="AI33" s="16">
        <v>0</v>
      </c>
      <c r="AJ33" s="17">
        <v>0</v>
      </c>
      <c r="AK33" s="17">
        <v>1</v>
      </c>
      <c r="AL33" s="17">
        <v>0</v>
      </c>
      <c r="AM33" s="17">
        <v>0</v>
      </c>
      <c r="AN33" s="17">
        <v>0</v>
      </c>
      <c r="AO33" s="17">
        <v>0</v>
      </c>
      <c r="AP33" s="17">
        <v>0</v>
      </c>
      <c r="AQ33" s="17">
        <v>0</v>
      </c>
      <c r="AR33" s="17">
        <v>0</v>
      </c>
      <c r="AS33" s="17">
        <v>0</v>
      </c>
      <c r="AT33" s="17">
        <v>0</v>
      </c>
      <c r="AU33" s="17">
        <v>0</v>
      </c>
      <c r="AV33" s="17">
        <v>-4.9024599999999996</v>
      </c>
      <c r="AW33" s="17">
        <v>0</v>
      </c>
      <c r="AX33" s="17">
        <v>0</v>
      </c>
      <c r="AY33" s="17">
        <v>0</v>
      </c>
      <c r="AZ33" s="17">
        <v>0</v>
      </c>
      <c r="BA33" s="17">
        <v>0</v>
      </c>
      <c r="BB33" s="17">
        <v>0</v>
      </c>
      <c r="BC33" s="17">
        <v>0</v>
      </c>
      <c r="BD33" s="17">
        <v>0</v>
      </c>
      <c r="BE33" s="17">
        <v>0</v>
      </c>
      <c r="BF33" s="17">
        <v>0</v>
      </c>
      <c r="BG33" s="17">
        <v>24.034114051599996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7">
        <v>0</v>
      </c>
      <c r="BN33" s="17">
        <v>0</v>
      </c>
      <c r="BO33" s="17">
        <v>0</v>
      </c>
      <c r="BP33" s="17">
        <v>0</v>
      </c>
      <c r="BQ33" s="17">
        <v>0</v>
      </c>
      <c r="BR33" s="17">
        <v>0</v>
      </c>
      <c r="BS33" s="17">
        <v>0</v>
      </c>
      <c r="BT33" s="17">
        <v>0</v>
      </c>
      <c r="BU33" s="17">
        <v>0</v>
      </c>
      <c r="BV33" s="17">
        <v>0</v>
      </c>
      <c r="BW33" s="17">
        <v>0</v>
      </c>
      <c r="BX33" s="17">
        <v>0</v>
      </c>
      <c r="BY33" s="17">
        <v>0</v>
      </c>
      <c r="BZ33" s="17">
        <v>0</v>
      </c>
      <c r="CA33" s="17">
        <v>0</v>
      </c>
      <c r="CB33" s="17">
        <v>0</v>
      </c>
      <c r="CC33" s="17">
        <v>0</v>
      </c>
      <c r="CD33" s="17">
        <v>0</v>
      </c>
      <c r="CE33" s="17">
        <v>0</v>
      </c>
      <c r="CF33" s="17">
        <v>0</v>
      </c>
      <c r="CG33" s="17">
        <v>0</v>
      </c>
      <c r="CH33" s="17">
        <v>0</v>
      </c>
      <c r="CI33" s="17">
        <v>0</v>
      </c>
      <c r="CJ33" s="17">
        <v>0</v>
      </c>
      <c r="CK33" s="18">
        <v>0</v>
      </c>
    </row>
    <row r="34" spans="1:89">
      <c r="A34" s="5" t="s">
        <v>23</v>
      </c>
      <c r="B34" s="44" t="s">
        <v>24</v>
      </c>
      <c r="C34" s="6" t="s">
        <v>29</v>
      </c>
      <c r="D34" s="5">
        <v>19</v>
      </c>
      <c r="E34" s="31">
        <v>0.1973755871335173</v>
      </c>
      <c r="F34" s="38">
        <f t="shared" si="2"/>
        <v>7106.3380700275957</v>
      </c>
      <c r="J34" s="44">
        <v>19</v>
      </c>
      <c r="K34" s="73">
        <v>-4.2583000000000002</v>
      </c>
      <c r="L34" s="17">
        <f t="shared" si="0"/>
        <v>18.133118890000002</v>
      </c>
      <c r="M34" s="52">
        <f t="shared" si="3"/>
        <v>0</v>
      </c>
      <c r="N34" s="18">
        <f t="shared" si="1"/>
        <v>0</v>
      </c>
      <c r="Q34" s="56">
        <v>-1.14095840220869E-2</v>
      </c>
      <c r="R34" s="60">
        <v>3.7481262876539599E-2</v>
      </c>
      <c r="S34" s="16">
        <v>4</v>
      </c>
      <c r="T34" s="17">
        <v>10</v>
      </c>
      <c r="U34" s="18">
        <v>0.2</v>
      </c>
      <c r="W34" s="16">
        <v>0</v>
      </c>
      <c r="X34" s="17">
        <v>0</v>
      </c>
      <c r="Y34" s="17">
        <v>1</v>
      </c>
      <c r="Z34" s="17">
        <v>0</v>
      </c>
      <c r="AA34" s="17">
        <v>0</v>
      </c>
      <c r="AB34" s="17">
        <v>0</v>
      </c>
      <c r="AC34" s="17">
        <v>0</v>
      </c>
      <c r="AD34" s="17">
        <v>0</v>
      </c>
      <c r="AE34" s="17">
        <v>0</v>
      </c>
      <c r="AF34" s="17">
        <v>0</v>
      </c>
      <c r="AG34" s="18">
        <v>0</v>
      </c>
      <c r="AI34" s="16">
        <v>0</v>
      </c>
      <c r="AJ34" s="17">
        <v>0</v>
      </c>
      <c r="AK34" s="17">
        <v>1</v>
      </c>
      <c r="AL34" s="17">
        <v>0</v>
      </c>
      <c r="AM34" s="17">
        <v>0</v>
      </c>
      <c r="AN34" s="17">
        <v>0</v>
      </c>
      <c r="AO34" s="17">
        <v>0</v>
      </c>
      <c r="AP34" s="17">
        <v>0</v>
      </c>
      <c r="AQ34" s="17">
        <v>0</v>
      </c>
      <c r="AR34" s="17">
        <v>0</v>
      </c>
      <c r="AS34" s="17">
        <v>0</v>
      </c>
      <c r="AT34" s="17">
        <v>0</v>
      </c>
      <c r="AU34" s="17">
        <v>0</v>
      </c>
      <c r="AV34" s="17">
        <v>-4.2583000000000002</v>
      </c>
      <c r="AW34" s="17">
        <v>0</v>
      </c>
      <c r="AX34" s="17">
        <v>0</v>
      </c>
      <c r="AY34" s="17">
        <v>0</v>
      </c>
      <c r="AZ34" s="17">
        <v>0</v>
      </c>
      <c r="BA34" s="17">
        <v>0</v>
      </c>
      <c r="BB34" s="17">
        <v>0</v>
      </c>
      <c r="BC34" s="17">
        <v>0</v>
      </c>
      <c r="BD34" s="17">
        <v>0</v>
      </c>
      <c r="BE34" s="17">
        <v>0</v>
      </c>
      <c r="BF34" s="17">
        <v>0</v>
      </c>
      <c r="BG34" s="17">
        <v>18.133118890000002</v>
      </c>
      <c r="BH34" s="17">
        <v>0</v>
      </c>
      <c r="BI34" s="17">
        <v>0</v>
      </c>
      <c r="BJ34" s="17">
        <v>0</v>
      </c>
      <c r="BK34" s="17">
        <v>0</v>
      </c>
      <c r="BL34" s="17">
        <v>0</v>
      </c>
      <c r="BM34" s="17">
        <v>0</v>
      </c>
      <c r="BN34" s="17">
        <v>0</v>
      </c>
      <c r="BO34" s="17">
        <v>0</v>
      </c>
      <c r="BP34" s="17">
        <v>0</v>
      </c>
      <c r="BQ34" s="17">
        <v>0</v>
      </c>
      <c r="BR34" s="17">
        <v>0</v>
      </c>
      <c r="BS34" s="17">
        <v>0</v>
      </c>
      <c r="BT34" s="17">
        <v>0</v>
      </c>
      <c r="BU34" s="17">
        <v>0</v>
      </c>
      <c r="BV34" s="17">
        <v>0</v>
      </c>
      <c r="BW34" s="17">
        <v>0</v>
      </c>
      <c r="BX34" s="17">
        <v>0</v>
      </c>
      <c r="BY34" s="17">
        <v>0</v>
      </c>
      <c r="BZ34" s="17">
        <v>0</v>
      </c>
      <c r="CA34" s="17">
        <v>0</v>
      </c>
      <c r="CB34" s="17">
        <v>0</v>
      </c>
      <c r="CC34" s="17">
        <v>0</v>
      </c>
      <c r="CD34" s="17">
        <v>0</v>
      </c>
      <c r="CE34" s="17">
        <v>0</v>
      </c>
      <c r="CF34" s="17">
        <v>0</v>
      </c>
      <c r="CG34" s="17">
        <v>0</v>
      </c>
      <c r="CH34" s="17">
        <v>0</v>
      </c>
      <c r="CI34" s="17">
        <v>0</v>
      </c>
      <c r="CJ34" s="17">
        <v>0</v>
      </c>
      <c r="CK34" s="18">
        <v>0</v>
      </c>
    </row>
    <row r="35" spans="1:89">
      <c r="A35" s="5" t="s">
        <v>23</v>
      </c>
      <c r="B35" s="44" t="s">
        <v>24</v>
      </c>
      <c r="C35" s="6" t="s">
        <v>30</v>
      </c>
      <c r="D35" s="5">
        <v>20</v>
      </c>
      <c r="E35" s="31">
        <v>0.22133507147699802</v>
      </c>
      <c r="F35" s="38">
        <f t="shared" si="2"/>
        <v>10700.260721549703</v>
      </c>
      <c r="J35" s="44">
        <v>20</v>
      </c>
      <c r="K35" s="73">
        <v>-6.1400199999999998</v>
      </c>
      <c r="L35" s="17">
        <f t="shared" si="0"/>
        <v>37.699845600399996</v>
      </c>
      <c r="M35" s="52">
        <f t="shared" si="3"/>
        <v>0</v>
      </c>
      <c r="N35" s="18">
        <f t="shared" si="1"/>
        <v>0</v>
      </c>
      <c r="Q35" s="56">
        <v>2.1715612201472301E-3</v>
      </c>
      <c r="R35" s="60">
        <v>4.0600209570290202E-2</v>
      </c>
      <c r="S35" s="16">
        <v>5</v>
      </c>
      <c r="T35" s="17">
        <v>1</v>
      </c>
      <c r="U35" s="18">
        <v>0.2</v>
      </c>
      <c r="W35" s="16">
        <v>0</v>
      </c>
      <c r="X35" s="17">
        <v>0</v>
      </c>
      <c r="Y35" s="17">
        <v>1</v>
      </c>
      <c r="Z35" s="17">
        <v>0</v>
      </c>
      <c r="AA35" s="17">
        <v>0</v>
      </c>
      <c r="AB35" s="17">
        <v>0</v>
      </c>
      <c r="AC35" s="17">
        <v>0</v>
      </c>
      <c r="AD35" s="17">
        <v>0</v>
      </c>
      <c r="AE35" s="17">
        <v>0</v>
      </c>
      <c r="AF35" s="17">
        <v>0</v>
      </c>
      <c r="AG35" s="18">
        <v>0</v>
      </c>
      <c r="AI35" s="16">
        <v>0</v>
      </c>
      <c r="AJ35" s="17">
        <v>0</v>
      </c>
      <c r="AK35" s="17">
        <v>1</v>
      </c>
      <c r="AL35" s="17">
        <v>0</v>
      </c>
      <c r="AM35" s="17">
        <v>0</v>
      </c>
      <c r="AN35" s="17">
        <v>0</v>
      </c>
      <c r="AO35" s="17">
        <v>0</v>
      </c>
      <c r="AP35" s="17">
        <v>0</v>
      </c>
      <c r="AQ35" s="17">
        <v>0</v>
      </c>
      <c r="AR35" s="17">
        <v>0</v>
      </c>
      <c r="AS35" s="17">
        <v>0</v>
      </c>
      <c r="AT35" s="17">
        <v>0</v>
      </c>
      <c r="AU35" s="17">
        <v>0</v>
      </c>
      <c r="AV35" s="17">
        <v>-6.1400199999999998</v>
      </c>
      <c r="AW35" s="17">
        <v>0</v>
      </c>
      <c r="AX35" s="17">
        <v>0</v>
      </c>
      <c r="AY35" s="17">
        <v>0</v>
      </c>
      <c r="AZ35" s="17">
        <v>0</v>
      </c>
      <c r="BA35" s="17">
        <v>0</v>
      </c>
      <c r="BB35" s="17">
        <v>0</v>
      </c>
      <c r="BC35" s="17">
        <v>0</v>
      </c>
      <c r="BD35" s="17">
        <v>0</v>
      </c>
      <c r="BE35" s="17">
        <v>0</v>
      </c>
      <c r="BF35" s="17">
        <v>0</v>
      </c>
      <c r="BG35" s="17">
        <v>37.699845600399996</v>
      </c>
      <c r="BH35" s="17">
        <v>0</v>
      </c>
      <c r="BI35" s="17">
        <v>0</v>
      </c>
      <c r="BJ35" s="17">
        <v>0</v>
      </c>
      <c r="BK35" s="17">
        <v>0</v>
      </c>
      <c r="BL35" s="17">
        <v>0</v>
      </c>
      <c r="BM35" s="17">
        <v>0</v>
      </c>
      <c r="BN35" s="17">
        <v>0</v>
      </c>
      <c r="BO35" s="17">
        <v>0</v>
      </c>
      <c r="BP35" s="17">
        <v>0</v>
      </c>
      <c r="BQ35" s="17">
        <v>0</v>
      </c>
      <c r="BR35" s="17">
        <v>0</v>
      </c>
      <c r="BS35" s="17">
        <v>0</v>
      </c>
      <c r="BT35" s="17">
        <v>0</v>
      </c>
      <c r="BU35" s="17">
        <v>0</v>
      </c>
      <c r="BV35" s="17">
        <v>0</v>
      </c>
      <c r="BW35" s="17">
        <v>0</v>
      </c>
      <c r="BX35" s="17">
        <v>0</v>
      </c>
      <c r="BY35" s="17">
        <v>0</v>
      </c>
      <c r="BZ35" s="17">
        <v>0</v>
      </c>
      <c r="CA35" s="17">
        <v>0</v>
      </c>
      <c r="CB35" s="17">
        <v>0</v>
      </c>
      <c r="CC35" s="17">
        <v>0</v>
      </c>
      <c r="CD35" s="17">
        <v>0</v>
      </c>
      <c r="CE35" s="17">
        <v>0</v>
      </c>
      <c r="CF35" s="17">
        <v>0</v>
      </c>
      <c r="CG35" s="17">
        <v>0</v>
      </c>
      <c r="CH35" s="17">
        <v>0</v>
      </c>
      <c r="CI35" s="17">
        <v>0</v>
      </c>
      <c r="CJ35" s="17">
        <v>0</v>
      </c>
      <c r="CK35" s="18">
        <v>0</v>
      </c>
    </row>
    <row r="36" spans="1:89">
      <c r="A36" s="5" t="s">
        <v>23</v>
      </c>
      <c r="B36" s="44" t="s">
        <v>24</v>
      </c>
      <c r="C36" s="6" t="s">
        <v>31</v>
      </c>
      <c r="D36" s="5">
        <v>21</v>
      </c>
      <c r="E36" s="31">
        <v>0.21446409087811699</v>
      </c>
      <c r="F36" s="38">
        <f t="shared" si="2"/>
        <v>9669.6136317175497</v>
      </c>
      <c r="J36" s="44">
        <v>21</v>
      </c>
      <c r="K36" s="73">
        <v>-5.75915</v>
      </c>
      <c r="L36" s="17">
        <f t="shared" si="0"/>
        <v>33.167808722499998</v>
      </c>
      <c r="M36" s="52">
        <f t="shared" si="3"/>
        <v>0</v>
      </c>
      <c r="N36" s="18">
        <f t="shared" si="1"/>
        <v>0</v>
      </c>
      <c r="Q36" s="56">
        <v>4.2414836928350002E-3</v>
      </c>
      <c r="R36" s="60">
        <v>3.5697686405706801E-2</v>
      </c>
      <c r="S36" s="16">
        <v>5</v>
      </c>
      <c r="T36" s="17">
        <v>2</v>
      </c>
      <c r="U36" s="18">
        <v>0.2</v>
      </c>
      <c r="W36" s="16">
        <v>0</v>
      </c>
      <c r="X36" s="17">
        <v>0</v>
      </c>
      <c r="Y36" s="17">
        <v>1</v>
      </c>
      <c r="Z36" s="17">
        <v>0</v>
      </c>
      <c r="AA36" s="17">
        <v>0</v>
      </c>
      <c r="AB36" s="17">
        <v>0</v>
      </c>
      <c r="AC36" s="17">
        <v>0</v>
      </c>
      <c r="AD36" s="17">
        <v>0</v>
      </c>
      <c r="AE36" s="17">
        <v>0</v>
      </c>
      <c r="AF36" s="17">
        <v>0</v>
      </c>
      <c r="AG36" s="18">
        <v>0</v>
      </c>
      <c r="AI36" s="16">
        <v>0</v>
      </c>
      <c r="AJ36" s="17">
        <v>0</v>
      </c>
      <c r="AK36" s="17">
        <v>1</v>
      </c>
      <c r="AL36" s="17">
        <v>0</v>
      </c>
      <c r="AM36" s="17">
        <v>0</v>
      </c>
      <c r="AN36" s="17">
        <v>0</v>
      </c>
      <c r="AO36" s="17">
        <v>0</v>
      </c>
      <c r="AP36" s="17">
        <v>0</v>
      </c>
      <c r="AQ36" s="17">
        <v>0</v>
      </c>
      <c r="AR36" s="17">
        <v>0</v>
      </c>
      <c r="AS36" s="17">
        <v>0</v>
      </c>
      <c r="AT36" s="17">
        <v>0</v>
      </c>
      <c r="AU36" s="17">
        <v>0</v>
      </c>
      <c r="AV36" s="17">
        <v>-5.75915</v>
      </c>
      <c r="AW36" s="17">
        <v>0</v>
      </c>
      <c r="AX36" s="17">
        <v>0</v>
      </c>
      <c r="AY36" s="17">
        <v>0</v>
      </c>
      <c r="AZ36" s="17">
        <v>0</v>
      </c>
      <c r="BA36" s="17">
        <v>0</v>
      </c>
      <c r="BB36" s="17">
        <v>0</v>
      </c>
      <c r="BC36" s="17">
        <v>0</v>
      </c>
      <c r="BD36" s="17">
        <v>0</v>
      </c>
      <c r="BE36" s="17">
        <v>0</v>
      </c>
      <c r="BF36" s="17">
        <v>0</v>
      </c>
      <c r="BG36" s="17">
        <v>33.167808722499998</v>
      </c>
      <c r="BH36" s="17">
        <v>0</v>
      </c>
      <c r="BI36" s="17">
        <v>0</v>
      </c>
      <c r="BJ36" s="17">
        <v>0</v>
      </c>
      <c r="BK36" s="17">
        <v>0</v>
      </c>
      <c r="BL36" s="17">
        <v>0</v>
      </c>
      <c r="BM36" s="17">
        <v>0</v>
      </c>
      <c r="BN36" s="17">
        <v>0</v>
      </c>
      <c r="BO36" s="17">
        <v>0</v>
      </c>
      <c r="BP36" s="17">
        <v>0</v>
      </c>
      <c r="BQ36" s="17">
        <v>0</v>
      </c>
      <c r="BR36" s="17">
        <v>0</v>
      </c>
      <c r="BS36" s="17">
        <v>0</v>
      </c>
      <c r="BT36" s="17">
        <v>0</v>
      </c>
      <c r="BU36" s="17">
        <v>0</v>
      </c>
      <c r="BV36" s="17">
        <v>0</v>
      </c>
      <c r="BW36" s="17">
        <v>0</v>
      </c>
      <c r="BX36" s="17">
        <v>0</v>
      </c>
      <c r="BY36" s="17">
        <v>0</v>
      </c>
      <c r="BZ36" s="17">
        <v>0</v>
      </c>
      <c r="CA36" s="17">
        <v>0</v>
      </c>
      <c r="CB36" s="17">
        <v>0</v>
      </c>
      <c r="CC36" s="17">
        <v>0</v>
      </c>
      <c r="CD36" s="17">
        <v>0</v>
      </c>
      <c r="CE36" s="17">
        <v>0</v>
      </c>
      <c r="CF36" s="17">
        <v>0</v>
      </c>
      <c r="CG36" s="17">
        <v>0</v>
      </c>
      <c r="CH36" s="17">
        <v>0</v>
      </c>
      <c r="CI36" s="17">
        <v>0</v>
      </c>
      <c r="CJ36" s="17">
        <v>0</v>
      </c>
      <c r="CK36" s="18">
        <v>0</v>
      </c>
    </row>
    <row r="37" spans="1:89">
      <c r="A37" s="5" t="s">
        <v>23</v>
      </c>
      <c r="B37" s="44" t="s">
        <v>24</v>
      </c>
      <c r="C37" s="6" t="s">
        <v>32</v>
      </c>
      <c r="D37" s="5">
        <v>22</v>
      </c>
      <c r="E37" s="31">
        <v>0.1942405803483275</v>
      </c>
      <c r="F37" s="38">
        <f t="shared" si="2"/>
        <v>6636.0870522491259</v>
      </c>
      <c r="J37" s="44">
        <v>22</v>
      </c>
      <c r="K37" s="73">
        <v>-5.0767499999999997</v>
      </c>
      <c r="L37" s="17">
        <f t="shared" si="0"/>
        <v>25.773390562499998</v>
      </c>
      <c r="M37" s="52">
        <f t="shared" si="3"/>
        <v>0</v>
      </c>
      <c r="N37" s="18">
        <f t="shared" si="1"/>
        <v>0</v>
      </c>
      <c r="Q37" s="57">
        <v>-2.9035625547872002E-5</v>
      </c>
      <c r="R37" s="60">
        <v>2.3676883003111299E-2</v>
      </c>
      <c r="S37" s="16">
        <v>5</v>
      </c>
      <c r="T37" s="17">
        <v>4</v>
      </c>
      <c r="U37" s="18">
        <v>0.2</v>
      </c>
      <c r="W37" s="16">
        <v>0</v>
      </c>
      <c r="X37" s="17">
        <v>0</v>
      </c>
      <c r="Y37" s="17">
        <v>1</v>
      </c>
      <c r="Z37" s="17">
        <v>0</v>
      </c>
      <c r="AA37" s="17">
        <v>0</v>
      </c>
      <c r="AB37" s="17">
        <v>0</v>
      </c>
      <c r="AC37" s="17">
        <v>0</v>
      </c>
      <c r="AD37" s="17">
        <v>0</v>
      </c>
      <c r="AE37" s="17">
        <v>0</v>
      </c>
      <c r="AF37" s="17">
        <v>0</v>
      </c>
      <c r="AG37" s="18">
        <v>0</v>
      </c>
      <c r="AI37" s="16">
        <v>0</v>
      </c>
      <c r="AJ37" s="17">
        <v>0</v>
      </c>
      <c r="AK37" s="17">
        <v>1</v>
      </c>
      <c r="AL37" s="17">
        <v>0</v>
      </c>
      <c r="AM37" s="17">
        <v>0</v>
      </c>
      <c r="AN37" s="17">
        <v>0</v>
      </c>
      <c r="AO37" s="17">
        <v>0</v>
      </c>
      <c r="AP37" s="17">
        <v>0</v>
      </c>
      <c r="AQ37" s="17">
        <v>0</v>
      </c>
      <c r="AR37" s="17">
        <v>0</v>
      </c>
      <c r="AS37" s="17">
        <v>0</v>
      </c>
      <c r="AT37" s="17">
        <v>0</v>
      </c>
      <c r="AU37" s="17">
        <v>0</v>
      </c>
      <c r="AV37" s="17">
        <v>-5.0767499999999997</v>
      </c>
      <c r="AW37" s="17">
        <v>0</v>
      </c>
      <c r="AX37" s="17">
        <v>0</v>
      </c>
      <c r="AY37" s="17">
        <v>0</v>
      </c>
      <c r="AZ37" s="17">
        <v>0</v>
      </c>
      <c r="BA37" s="17">
        <v>0</v>
      </c>
      <c r="BB37" s="17">
        <v>0</v>
      </c>
      <c r="BC37" s="17">
        <v>0</v>
      </c>
      <c r="BD37" s="17">
        <v>0</v>
      </c>
      <c r="BE37" s="17">
        <v>0</v>
      </c>
      <c r="BF37" s="17">
        <v>0</v>
      </c>
      <c r="BG37" s="17">
        <v>25.773390562499998</v>
      </c>
      <c r="BH37" s="17">
        <v>0</v>
      </c>
      <c r="BI37" s="17">
        <v>0</v>
      </c>
      <c r="BJ37" s="17">
        <v>0</v>
      </c>
      <c r="BK37" s="17">
        <v>0</v>
      </c>
      <c r="BL37" s="17">
        <v>0</v>
      </c>
      <c r="BM37" s="17">
        <v>0</v>
      </c>
      <c r="BN37" s="17">
        <v>0</v>
      </c>
      <c r="BO37" s="17">
        <v>0</v>
      </c>
      <c r="BP37" s="17">
        <v>0</v>
      </c>
      <c r="BQ37" s="17">
        <v>0</v>
      </c>
      <c r="BR37" s="17">
        <v>0</v>
      </c>
      <c r="BS37" s="17">
        <v>0</v>
      </c>
      <c r="BT37" s="17">
        <v>0</v>
      </c>
      <c r="BU37" s="17">
        <v>0</v>
      </c>
      <c r="BV37" s="17">
        <v>0</v>
      </c>
      <c r="BW37" s="17">
        <v>0</v>
      </c>
      <c r="BX37" s="17">
        <v>0</v>
      </c>
      <c r="BY37" s="17">
        <v>0</v>
      </c>
      <c r="BZ37" s="17">
        <v>0</v>
      </c>
      <c r="CA37" s="17">
        <v>0</v>
      </c>
      <c r="CB37" s="17">
        <v>0</v>
      </c>
      <c r="CC37" s="17">
        <v>0</v>
      </c>
      <c r="CD37" s="17">
        <v>0</v>
      </c>
      <c r="CE37" s="17">
        <v>0</v>
      </c>
      <c r="CF37" s="17">
        <v>0</v>
      </c>
      <c r="CG37" s="17">
        <v>0</v>
      </c>
      <c r="CH37" s="17">
        <v>0</v>
      </c>
      <c r="CI37" s="17">
        <v>0</v>
      </c>
      <c r="CJ37" s="17">
        <v>0</v>
      </c>
      <c r="CK37" s="18">
        <v>0</v>
      </c>
    </row>
    <row r="38" spans="1:89">
      <c r="A38" s="5" t="s">
        <v>23</v>
      </c>
      <c r="B38" s="44" t="s">
        <v>24</v>
      </c>
      <c r="C38" s="6" t="s">
        <v>33</v>
      </c>
      <c r="D38" s="5">
        <v>23</v>
      </c>
      <c r="E38" s="31">
        <v>0.20524265309911022</v>
      </c>
      <c r="F38" s="38">
        <f t="shared" si="2"/>
        <v>8286.3979648665336</v>
      </c>
      <c r="J38" s="44">
        <v>23</v>
      </c>
      <c r="K38" s="73">
        <v>-4.8608200000000004</v>
      </c>
      <c r="L38" s="17">
        <f t="shared" si="0"/>
        <v>23.627571072400002</v>
      </c>
      <c r="M38" s="52">
        <f t="shared" si="3"/>
        <v>0</v>
      </c>
      <c r="N38" s="18">
        <f t="shared" si="1"/>
        <v>0</v>
      </c>
      <c r="Q38" s="57">
        <v>7.0040957612812601E-5</v>
      </c>
      <c r="R38" s="60">
        <v>3.6228596574133201E-2</v>
      </c>
      <c r="S38" s="16">
        <v>5</v>
      </c>
      <c r="T38" s="17">
        <v>9</v>
      </c>
      <c r="U38" s="18">
        <v>0.2</v>
      </c>
      <c r="W38" s="16">
        <v>0</v>
      </c>
      <c r="X38" s="17">
        <v>0</v>
      </c>
      <c r="Y38" s="17">
        <v>1</v>
      </c>
      <c r="Z38" s="17">
        <v>0</v>
      </c>
      <c r="AA38" s="17">
        <v>0</v>
      </c>
      <c r="AB38" s="17">
        <v>0</v>
      </c>
      <c r="AC38" s="17">
        <v>0</v>
      </c>
      <c r="AD38" s="17">
        <v>0</v>
      </c>
      <c r="AE38" s="17">
        <v>0</v>
      </c>
      <c r="AF38" s="17">
        <v>0</v>
      </c>
      <c r="AG38" s="18">
        <v>0</v>
      </c>
      <c r="AI38" s="16">
        <v>0</v>
      </c>
      <c r="AJ38" s="17">
        <v>0</v>
      </c>
      <c r="AK38" s="17">
        <v>1</v>
      </c>
      <c r="AL38" s="17">
        <v>0</v>
      </c>
      <c r="AM38" s="17">
        <v>0</v>
      </c>
      <c r="AN38" s="17">
        <v>0</v>
      </c>
      <c r="AO38" s="17">
        <v>0</v>
      </c>
      <c r="AP38" s="17">
        <v>0</v>
      </c>
      <c r="AQ38" s="17">
        <v>0</v>
      </c>
      <c r="AR38" s="17">
        <v>0</v>
      </c>
      <c r="AS38" s="17">
        <v>0</v>
      </c>
      <c r="AT38" s="17">
        <v>0</v>
      </c>
      <c r="AU38" s="17">
        <v>0</v>
      </c>
      <c r="AV38" s="17">
        <v>-4.8608200000000004</v>
      </c>
      <c r="AW38" s="17">
        <v>0</v>
      </c>
      <c r="AX38" s="17">
        <v>0</v>
      </c>
      <c r="AY38" s="17">
        <v>0</v>
      </c>
      <c r="AZ38" s="17">
        <v>0</v>
      </c>
      <c r="BA38" s="17">
        <v>0</v>
      </c>
      <c r="BB38" s="17">
        <v>0</v>
      </c>
      <c r="BC38" s="17">
        <v>0</v>
      </c>
      <c r="BD38" s="17">
        <v>0</v>
      </c>
      <c r="BE38" s="17">
        <v>0</v>
      </c>
      <c r="BF38" s="17">
        <v>0</v>
      </c>
      <c r="BG38" s="17">
        <v>23.627571072400002</v>
      </c>
      <c r="BH38" s="17">
        <v>0</v>
      </c>
      <c r="BI38" s="17">
        <v>0</v>
      </c>
      <c r="BJ38" s="17">
        <v>0</v>
      </c>
      <c r="BK38" s="17">
        <v>0</v>
      </c>
      <c r="BL38" s="17">
        <v>0</v>
      </c>
      <c r="BM38" s="17">
        <v>0</v>
      </c>
      <c r="BN38" s="17">
        <v>0</v>
      </c>
      <c r="BO38" s="17">
        <v>0</v>
      </c>
      <c r="BP38" s="17">
        <v>0</v>
      </c>
      <c r="BQ38" s="17">
        <v>0</v>
      </c>
      <c r="BR38" s="17">
        <v>0</v>
      </c>
      <c r="BS38" s="17">
        <v>0</v>
      </c>
      <c r="BT38" s="17">
        <v>0</v>
      </c>
      <c r="BU38" s="17">
        <v>0</v>
      </c>
      <c r="BV38" s="17">
        <v>0</v>
      </c>
      <c r="BW38" s="17">
        <v>0</v>
      </c>
      <c r="BX38" s="17">
        <v>0</v>
      </c>
      <c r="BY38" s="17">
        <v>0</v>
      </c>
      <c r="BZ38" s="17">
        <v>0</v>
      </c>
      <c r="CA38" s="17">
        <v>0</v>
      </c>
      <c r="CB38" s="17">
        <v>0</v>
      </c>
      <c r="CC38" s="17">
        <v>0</v>
      </c>
      <c r="CD38" s="17">
        <v>0</v>
      </c>
      <c r="CE38" s="17">
        <v>0</v>
      </c>
      <c r="CF38" s="17">
        <v>0</v>
      </c>
      <c r="CG38" s="17">
        <v>0</v>
      </c>
      <c r="CH38" s="17">
        <v>0</v>
      </c>
      <c r="CI38" s="17">
        <v>0</v>
      </c>
      <c r="CJ38" s="17">
        <v>0</v>
      </c>
      <c r="CK38" s="18">
        <v>0</v>
      </c>
    </row>
    <row r="39" spans="1:89">
      <c r="A39" s="5" t="s">
        <v>23</v>
      </c>
      <c r="B39" s="44" t="s">
        <v>24</v>
      </c>
      <c r="C39" s="6" t="s">
        <v>34</v>
      </c>
      <c r="D39" s="5">
        <v>24</v>
      </c>
      <c r="E39" s="31">
        <v>0.19803423341142068</v>
      </c>
      <c r="F39" s="38">
        <f t="shared" si="2"/>
        <v>7205.1350117131024</v>
      </c>
      <c r="J39" s="44">
        <v>24</v>
      </c>
      <c r="K39" s="73">
        <v>-4.7949900000000003</v>
      </c>
      <c r="L39" s="17">
        <f t="shared" si="0"/>
        <v>22.991929100100002</v>
      </c>
      <c r="M39" s="52">
        <f t="shared" si="3"/>
        <v>0</v>
      </c>
      <c r="N39" s="18">
        <f t="shared" si="1"/>
        <v>0</v>
      </c>
      <c r="Q39" s="57">
        <v>5.4350468623444899E-5</v>
      </c>
      <c r="R39" s="60">
        <v>3.1327939105070798E-2</v>
      </c>
      <c r="S39" s="16">
        <v>5</v>
      </c>
      <c r="T39" s="17">
        <v>10</v>
      </c>
      <c r="U39" s="18">
        <v>0.2</v>
      </c>
      <c r="W39" s="16">
        <v>0</v>
      </c>
      <c r="X39" s="17">
        <v>0</v>
      </c>
      <c r="Y39" s="17">
        <v>1</v>
      </c>
      <c r="Z39" s="17">
        <v>0</v>
      </c>
      <c r="AA39" s="17">
        <v>0</v>
      </c>
      <c r="AB39" s="17">
        <v>0</v>
      </c>
      <c r="AC39" s="17">
        <v>0</v>
      </c>
      <c r="AD39" s="17">
        <v>0</v>
      </c>
      <c r="AE39" s="17">
        <v>0</v>
      </c>
      <c r="AF39" s="17">
        <v>0</v>
      </c>
      <c r="AG39" s="18">
        <v>0</v>
      </c>
      <c r="AI39" s="16">
        <v>0</v>
      </c>
      <c r="AJ39" s="17">
        <v>0</v>
      </c>
      <c r="AK39" s="17">
        <v>1</v>
      </c>
      <c r="AL39" s="17">
        <v>0</v>
      </c>
      <c r="AM39" s="17">
        <v>0</v>
      </c>
      <c r="AN39" s="17">
        <v>0</v>
      </c>
      <c r="AO39" s="17">
        <v>0</v>
      </c>
      <c r="AP39" s="17">
        <v>0</v>
      </c>
      <c r="AQ39" s="17">
        <v>0</v>
      </c>
      <c r="AR39" s="17">
        <v>0</v>
      </c>
      <c r="AS39" s="17">
        <v>0</v>
      </c>
      <c r="AT39" s="17">
        <v>0</v>
      </c>
      <c r="AU39" s="17">
        <v>0</v>
      </c>
      <c r="AV39" s="17">
        <v>-4.7949900000000003</v>
      </c>
      <c r="AW39" s="17">
        <v>0</v>
      </c>
      <c r="AX39" s="17">
        <v>0</v>
      </c>
      <c r="AY39" s="17">
        <v>0</v>
      </c>
      <c r="AZ39" s="17">
        <v>0</v>
      </c>
      <c r="BA39" s="17">
        <v>0</v>
      </c>
      <c r="BB39" s="17">
        <v>0</v>
      </c>
      <c r="BC39" s="17">
        <v>0</v>
      </c>
      <c r="BD39" s="17">
        <v>0</v>
      </c>
      <c r="BE39" s="17">
        <v>0</v>
      </c>
      <c r="BF39" s="17">
        <v>0</v>
      </c>
      <c r="BG39" s="17">
        <v>22.991929100100002</v>
      </c>
      <c r="BH39" s="17">
        <v>0</v>
      </c>
      <c r="BI39" s="17">
        <v>0</v>
      </c>
      <c r="BJ39" s="17">
        <v>0</v>
      </c>
      <c r="BK39" s="17">
        <v>0</v>
      </c>
      <c r="BL39" s="17">
        <v>0</v>
      </c>
      <c r="BM39" s="17">
        <v>0</v>
      </c>
      <c r="BN39" s="17">
        <v>0</v>
      </c>
      <c r="BO39" s="17">
        <v>0</v>
      </c>
      <c r="BP39" s="17">
        <v>0</v>
      </c>
      <c r="BQ39" s="17">
        <v>0</v>
      </c>
      <c r="BR39" s="17">
        <v>0</v>
      </c>
      <c r="BS39" s="17">
        <v>0</v>
      </c>
      <c r="BT39" s="17">
        <v>0</v>
      </c>
      <c r="BU39" s="17">
        <v>0</v>
      </c>
      <c r="BV39" s="17">
        <v>0</v>
      </c>
      <c r="BW39" s="17">
        <v>0</v>
      </c>
      <c r="BX39" s="17">
        <v>0</v>
      </c>
      <c r="BY39" s="17">
        <v>0</v>
      </c>
      <c r="BZ39" s="17">
        <v>0</v>
      </c>
      <c r="CA39" s="17">
        <v>0</v>
      </c>
      <c r="CB39" s="17">
        <v>0</v>
      </c>
      <c r="CC39" s="17">
        <v>0</v>
      </c>
      <c r="CD39" s="17">
        <v>0</v>
      </c>
      <c r="CE39" s="17">
        <v>0</v>
      </c>
      <c r="CF39" s="17">
        <v>0</v>
      </c>
      <c r="CG39" s="17">
        <v>0</v>
      </c>
      <c r="CH39" s="17">
        <v>0</v>
      </c>
      <c r="CI39" s="17">
        <v>0</v>
      </c>
      <c r="CJ39" s="17">
        <v>0</v>
      </c>
      <c r="CK39" s="18">
        <v>0</v>
      </c>
    </row>
    <row r="40" spans="1:89">
      <c r="A40" s="5" t="s">
        <v>23</v>
      </c>
      <c r="B40" s="44" t="s">
        <v>24</v>
      </c>
      <c r="C40" s="6" t="s">
        <v>35</v>
      </c>
      <c r="D40" s="5">
        <v>25</v>
      </c>
      <c r="E40" s="31">
        <v>0.21250481222577564</v>
      </c>
      <c r="F40" s="38">
        <f t="shared" si="2"/>
        <v>9375.7218338663461</v>
      </c>
      <c r="J40" s="44">
        <v>25</v>
      </c>
      <c r="K40" s="73">
        <v>-5.9164700000000003</v>
      </c>
      <c r="L40" s="17">
        <f t="shared" si="0"/>
        <v>35.004617260900005</v>
      </c>
      <c r="M40" s="52">
        <f t="shared" si="3"/>
        <v>0</v>
      </c>
      <c r="N40" s="18">
        <f t="shared" si="1"/>
        <v>0</v>
      </c>
      <c r="Q40" s="57">
        <v>3.0710038222979999E-4</v>
      </c>
      <c r="R40" s="60">
        <v>2.77847282345248E-2</v>
      </c>
      <c r="S40" s="16">
        <v>6</v>
      </c>
      <c r="T40" s="17">
        <v>1</v>
      </c>
      <c r="U40" s="18">
        <v>0.33333333333333331</v>
      </c>
      <c r="W40" s="16">
        <v>0</v>
      </c>
      <c r="X40" s="17">
        <v>0</v>
      </c>
      <c r="Y40" s="17">
        <v>1</v>
      </c>
      <c r="Z40" s="17">
        <v>0</v>
      </c>
      <c r="AA40" s="17">
        <v>0</v>
      </c>
      <c r="AB40" s="17">
        <v>0</v>
      </c>
      <c r="AC40" s="17">
        <v>0</v>
      </c>
      <c r="AD40" s="17">
        <v>0</v>
      </c>
      <c r="AE40" s="17">
        <v>0</v>
      </c>
      <c r="AF40" s="17">
        <v>0</v>
      </c>
      <c r="AG40" s="18">
        <v>0</v>
      </c>
      <c r="AI40" s="16">
        <v>0</v>
      </c>
      <c r="AJ40" s="17">
        <v>0</v>
      </c>
      <c r="AK40" s="17">
        <v>1</v>
      </c>
      <c r="AL40" s="17">
        <v>0</v>
      </c>
      <c r="AM40" s="17">
        <v>0</v>
      </c>
      <c r="AN40" s="17">
        <v>0</v>
      </c>
      <c r="AO40" s="17">
        <v>0</v>
      </c>
      <c r="AP40" s="17">
        <v>0</v>
      </c>
      <c r="AQ40" s="17">
        <v>0</v>
      </c>
      <c r="AR40" s="17">
        <v>0</v>
      </c>
      <c r="AS40" s="17">
        <v>0</v>
      </c>
      <c r="AT40" s="17">
        <v>0</v>
      </c>
      <c r="AU40" s="17">
        <v>0</v>
      </c>
      <c r="AV40" s="17">
        <v>-5.9164700000000003</v>
      </c>
      <c r="AW40" s="17">
        <v>0</v>
      </c>
      <c r="AX40" s="17">
        <v>0</v>
      </c>
      <c r="AY40" s="17">
        <v>0</v>
      </c>
      <c r="AZ40" s="17">
        <v>0</v>
      </c>
      <c r="BA40" s="17">
        <v>0</v>
      </c>
      <c r="BB40" s="17">
        <v>0</v>
      </c>
      <c r="BC40" s="17">
        <v>0</v>
      </c>
      <c r="BD40" s="17">
        <v>0</v>
      </c>
      <c r="BE40" s="17">
        <v>0</v>
      </c>
      <c r="BF40" s="17">
        <v>0</v>
      </c>
      <c r="BG40" s="17">
        <v>35.004617260900005</v>
      </c>
      <c r="BH40" s="17">
        <v>0</v>
      </c>
      <c r="BI40" s="17">
        <v>0</v>
      </c>
      <c r="BJ40" s="17">
        <v>0</v>
      </c>
      <c r="BK40" s="17">
        <v>0</v>
      </c>
      <c r="BL40" s="17">
        <v>0</v>
      </c>
      <c r="BM40" s="17">
        <v>0</v>
      </c>
      <c r="BN40" s="17">
        <v>0</v>
      </c>
      <c r="BO40" s="17">
        <v>0</v>
      </c>
      <c r="BP40" s="17">
        <v>0</v>
      </c>
      <c r="BQ40" s="17">
        <v>0</v>
      </c>
      <c r="BR40" s="17">
        <v>0</v>
      </c>
      <c r="BS40" s="17">
        <v>0</v>
      </c>
      <c r="BT40" s="17">
        <v>0</v>
      </c>
      <c r="BU40" s="17">
        <v>0</v>
      </c>
      <c r="BV40" s="17">
        <v>0</v>
      </c>
      <c r="BW40" s="17">
        <v>0</v>
      </c>
      <c r="BX40" s="17">
        <v>0</v>
      </c>
      <c r="BY40" s="17">
        <v>0</v>
      </c>
      <c r="BZ40" s="17">
        <v>0</v>
      </c>
      <c r="CA40" s="17">
        <v>0</v>
      </c>
      <c r="CB40" s="17">
        <v>0</v>
      </c>
      <c r="CC40" s="17">
        <v>0</v>
      </c>
      <c r="CD40" s="17">
        <v>0</v>
      </c>
      <c r="CE40" s="17">
        <v>0</v>
      </c>
      <c r="CF40" s="17">
        <v>0</v>
      </c>
      <c r="CG40" s="17">
        <v>0</v>
      </c>
      <c r="CH40" s="17">
        <v>0</v>
      </c>
      <c r="CI40" s="17">
        <v>0</v>
      </c>
      <c r="CJ40" s="17">
        <v>0</v>
      </c>
      <c r="CK40" s="18">
        <v>0</v>
      </c>
    </row>
    <row r="41" spans="1:89">
      <c r="A41" s="5" t="s">
        <v>23</v>
      </c>
      <c r="B41" s="44" t="s">
        <v>36</v>
      </c>
      <c r="C41" s="6" t="s">
        <v>37</v>
      </c>
      <c r="D41" s="5">
        <v>26</v>
      </c>
      <c r="E41" s="31">
        <v>0.28572098256728196</v>
      </c>
      <c r="F41" s="38">
        <f t="shared" si="2"/>
        <v>20358.147385092296</v>
      </c>
      <c r="J41" s="44">
        <v>26</v>
      </c>
      <c r="K41" s="73">
        <v>-7.3833399999999996</v>
      </c>
      <c r="L41" s="17">
        <f t="shared" si="0"/>
        <v>54.513709555599995</v>
      </c>
      <c r="M41" s="52">
        <f t="shared" si="3"/>
        <v>0</v>
      </c>
      <c r="N41" s="18">
        <f t="shared" si="1"/>
        <v>0</v>
      </c>
      <c r="Q41" s="57">
        <v>-3.9029004848283703E-5</v>
      </c>
      <c r="R41" s="60">
        <v>0</v>
      </c>
      <c r="S41" s="16">
        <v>6</v>
      </c>
      <c r="T41" s="17">
        <v>9</v>
      </c>
      <c r="U41" s="18">
        <v>0.33333333333333331</v>
      </c>
      <c r="W41" s="16">
        <v>0</v>
      </c>
      <c r="X41" s="17">
        <v>0</v>
      </c>
      <c r="Y41" s="17">
        <v>0</v>
      </c>
      <c r="Z41" s="17">
        <v>1</v>
      </c>
      <c r="AA41" s="17">
        <v>0</v>
      </c>
      <c r="AB41" s="17">
        <v>0</v>
      </c>
      <c r="AC41" s="17">
        <v>0</v>
      </c>
      <c r="AD41" s="17">
        <v>0</v>
      </c>
      <c r="AE41" s="17">
        <v>0</v>
      </c>
      <c r="AF41" s="17">
        <v>0</v>
      </c>
      <c r="AG41" s="18">
        <v>0</v>
      </c>
      <c r="AI41" s="16">
        <v>0</v>
      </c>
      <c r="AJ41" s="17">
        <v>0</v>
      </c>
      <c r="AK41" s="17">
        <v>0</v>
      </c>
      <c r="AL41" s="17">
        <v>1</v>
      </c>
      <c r="AM41" s="17">
        <v>0</v>
      </c>
      <c r="AN41" s="17">
        <v>0</v>
      </c>
      <c r="AO41" s="17">
        <v>0</v>
      </c>
      <c r="AP41" s="17">
        <v>0</v>
      </c>
      <c r="AQ41" s="17">
        <v>0</v>
      </c>
      <c r="AR41" s="17">
        <v>0</v>
      </c>
      <c r="AS41" s="17">
        <v>0</v>
      </c>
      <c r="AT41" s="17">
        <v>0</v>
      </c>
      <c r="AU41" s="17">
        <v>0</v>
      </c>
      <c r="AV41" s="17">
        <v>0</v>
      </c>
      <c r="AW41" s="17">
        <v>-7.3833399999999996</v>
      </c>
      <c r="AX41" s="17">
        <v>0</v>
      </c>
      <c r="AY41" s="17">
        <v>0</v>
      </c>
      <c r="AZ41" s="17">
        <v>0</v>
      </c>
      <c r="BA41" s="17">
        <v>0</v>
      </c>
      <c r="BB41" s="17">
        <v>0</v>
      </c>
      <c r="BC41" s="17">
        <v>0</v>
      </c>
      <c r="BD41" s="17">
        <v>0</v>
      </c>
      <c r="BE41" s="17">
        <v>0</v>
      </c>
      <c r="BF41" s="17">
        <v>0</v>
      </c>
      <c r="BG41" s="17">
        <v>0</v>
      </c>
      <c r="BH41" s="17">
        <v>54.513709555599995</v>
      </c>
      <c r="BI41" s="17">
        <v>0</v>
      </c>
      <c r="BJ41" s="17">
        <v>0</v>
      </c>
      <c r="BK41" s="17">
        <v>0</v>
      </c>
      <c r="BL41" s="17">
        <v>0</v>
      </c>
      <c r="BM41" s="17">
        <v>0</v>
      </c>
      <c r="BN41" s="17">
        <v>0</v>
      </c>
      <c r="BO41" s="17">
        <v>0</v>
      </c>
      <c r="BP41" s="17">
        <v>0</v>
      </c>
      <c r="BQ41" s="17">
        <v>0</v>
      </c>
      <c r="BR41" s="17">
        <v>0</v>
      </c>
      <c r="BS41" s="17">
        <v>0</v>
      </c>
      <c r="BT41" s="17">
        <v>0</v>
      </c>
      <c r="BU41" s="17">
        <v>0</v>
      </c>
      <c r="BV41" s="17">
        <v>0</v>
      </c>
      <c r="BW41" s="17">
        <v>0</v>
      </c>
      <c r="BX41" s="17">
        <v>0</v>
      </c>
      <c r="BY41" s="17">
        <v>0</v>
      </c>
      <c r="BZ41" s="17">
        <v>0</v>
      </c>
      <c r="CA41" s="17">
        <v>0</v>
      </c>
      <c r="CB41" s="17">
        <v>0</v>
      </c>
      <c r="CC41" s="17">
        <v>0</v>
      </c>
      <c r="CD41" s="17">
        <v>0</v>
      </c>
      <c r="CE41" s="17">
        <v>0</v>
      </c>
      <c r="CF41" s="17">
        <v>0</v>
      </c>
      <c r="CG41" s="17">
        <v>0</v>
      </c>
      <c r="CH41" s="17">
        <v>0</v>
      </c>
      <c r="CI41" s="17">
        <v>0</v>
      </c>
      <c r="CJ41" s="17">
        <v>0</v>
      </c>
      <c r="CK41" s="18">
        <v>0</v>
      </c>
    </row>
    <row r="42" spans="1:89">
      <c r="A42" s="5" t="s">
        <v>23</v>
      </c>
      <c r="B42" s="44" t="s">
        <v>36</v>
      </c>
      <c r="C42" s="6" t="s">
        <v>36</v>
      </c>
      <c r="D42" s="5">
        <v>27</v>
      </c>
      <c r="E42" s="31">
        <v>0.29628417173814031</v>
      </c>
      <c r="F42" s="38">
        <f t="shared" si="2"/>
        <v>21942.62576072105</v>
      </c>
      <c r="J42" s="44">
        <v>27</v>
      </c>
      <c r="K42" s="73">
        <v>-7.7512999999999996</v>
      </c>
      <c r="L42" s="17">
        <f t="shared" si="0"/>
        <v>60.082651689999992</v>
      </c>
      <c r="M42" s="52">
        <f t="shared" si="3"/>
        <v>0</v>
      </c>
      <c r="N42" s="18">
        <f t="shared" si="1"/>
        <v>0</v>
      </c>
      <c r="Q42" s="57">
        <v>7.1526324217434807E-5</v>
      </c>
      <c r="R42" s="60">
        <v>0</v>
      </c>
      <c r="S42" s="16">
        <v>6</v>
      </c>
      <c r="T42" s="17">
        <v>83</v>
      </c>
      <c r="U42" s="18">
        <v>0.33333333333333331</v>
      </c>
      <c r="W42" s="16">
        <v>0</v>
      </c>
      <c r="X42" s="17">
        <v>0</v>
      </c>
      <c r="Y42" s="17">
        <v>0</v>
      </c>
      <c r="Z42" s="17">
        <v>1</v>
      </c>
      <c r="AA42" s="17">
        <v>0</v>
      </c>
      <c r="AB42" s="17">
        <v>0</v>
      </c>
      <c r="AC42" s="17">
        <v>0</v>
      </c>
      <c r="AD42" s="17">
        <v>0</v>
      </c>
      <c r="AE42" s="17">
        <v>0</v>
      </c>
      <c r="AF42" s="17">
        <v>0</v>
      </c>
      <c r="AG42" s="18">
        <v>0</v>
      </c>
      <c r="AI42" s="16">
        <v>0</v>
      </c>
      <c r="AJ42" s="17">
        <v>0</v>
      </c>
      <c r="AK42" s="17">
        <v>0</v>
      </c>
      <c r="AL42" s="17">
        <v>1</v>
      </c>
      <c r="AM42" s="17">
        <v>0</v>
      </c>
      <c r="AN42" s="17">
        <v>0</v>
      </c>
      <c r="AO42" s="17">
        <v>0</v>
      </c>
      <c r="AP42" s="17">
        <v>0</v>
      </c>
      <c r="AQ42" s="17">
        <v>0</v>
      </c>
      <c r="AR42" s="17">
        <v>0</v>
      </c>
      <c r="AS42" s="17">
        <v>0</v>
      </c>
      <c r="AT42" s="17">
        <v>0</v>
      </c>
      <c r="AU42" s="17">
        <v>0</v>
      </c>
      <c r="AV42" s="17">
        <v>0</v>
      </c>
      <c r="AW42" s="17">
        <v>-7.7512999999999996</v>
      </c>
      <c r="AX42" s="17">
        <v>0</v>
      </c>
      <c r="AY42" s="17">
        <v>0</v>
      </c>
      <c r="AZ42" s="17">
        <v>0</v>
      </c>
      <c r="BA42" s="17">
        <v>0</v>
      </c>
      <c r="BB42" s="17">
        <v>0</v>
      </c>
      <c r="BC42" s="17">
        <v>0</v>
      </c>
      <c r="BD42" s="17">
        <v>0</v>
      </c>
      <c r="BE42" s="17">
        <v>0</v>
      </c>
      <c r="BF42" s="17">
        <v>0</v>
      </c>
      <c r="BG42" s="17">
        <v>0</v>
      </c>
      <c r="BH42" s="17">
        <v>60.082651689999992</v>
      </c>
      <c r="BI42" s="17">
        <v>0</v>
      </c>
      <c r="BJ42" s="17">
        <v>0</v>
      </c>
      <c r="BK42" s="17">
        <v>0</v>
      </c>
      <c r="BL42" s="17">
        <v>0</v>
      </c>
      <c r="BM42" s="17">
        <v>0</v>
      </c>
      <c r="BN42" s="17">
        <v>0</v>
      </c>
      <c r="BO42" s="17">
        <v>0</v>
      </c>
      <c r="BP42" s="17">
        <v>0</v>
      </c>
      <c r="BQ42" s="17">
        <v>0</v>
      </c>
      <c r="BR42" s="17">
        <v>0</v>
      </c>
      <c r="BS42" s="17">
        <v>0</v>
      </c>
      <c r="BT42" s="17">
        <v>0</v>
      </c>
      <c r="BU42" s="17">
        <v>0</v>
      </c>
      <c r="BV42" s="17">
        <v>0</v>
      </c>
      <c r="BW42" s="17">
        <v>0</v>
      </c>
      <c r="BX42" s="17">
        <v>0</v>
      </c>
      <c r="BY42" s="17">
        <v>0</v>
      </c>
      <c r="BZ42" s="17">
        <v>0</v>
      </c>
      <c r="CA42" s="17">
        <v>0</v>
      </c>
      <c r="CB42" s="17">
        <v>0</v>
      </c>
      <c r="CC42" s="17">
        <v>0</v>
      </c>
      <c r="CD42" s="17">
        <v>0</v>
      </c>
      <c r="CE42" s="17">
        <v>0</v>
      </c>
      <c r="CF42" s="17">
        <v>0</v>
      </c>
      <c r="CG42" s="17">
        <v>0</v>
      </c>
      <c r="CH42" s="17">
        <v>0</v>
      </c>
      <c r="CI42" s="17">
        <v>0</v>
      </c>
      <c r="CJ42" s="17">
        <v>0</v>
      </c>
      <c r="CK42" s="18">
        <v>0</v>
      </c>
    </row>
    <row r="43" spans="1:89">
      <c r="A43" s="5" t="s">
        <v>23</v>
      </c>
      <c r="B43" s="44" t="s">
        <v>36</v>
      </c>
      <c r="C43" s="6" t="s">
        <v>38</v>
      </c>
      <c r="D43" s="5">
        <v>28</v>
      </c>
      <c r="E43" s="31">
        <v>0.25954806054720558</v>
      </c>
      <c r="F43" s="38">
        <f t="shared" si="2"/>
        <v>16432.209082080837</v>
      </c>
      <c r="J43" s="44">
        <v>28</v>
      </c>
      <c r="K43" s="73">
        <v>-6.55769</v>
      </c>
      <c r="L43" s="17">
        <f t="shared" si="0"/>
        <v>43.0032981361</v>
      </c>
      <c r="M43" s="52">
        <f t="shared" si="3"/>
        <v>0</v>
      </c>
      <c r="N43" s="18">
        <f t="shared" si="1"/>
        <v>0</v>
      </c>
      <c r="Q43" s="57">
        <v>3.16227856476059E-4</v>
      </c>
      <c r="R43" s="60">
        <v>0</v>
      </c>
      <c r="S43" s="16">
        <v>7</v>
      </c>
      <c r="T43" s="17">
        <v>10</v>
      </c>
      <c r="U43" s="18">
        <v>0.5</v>
      </c>
      <c r="W43" s="16">
        <v>0</v>
      </c>
      <c r="X43" s="17">
        <v>0</v>
      </c>
      <c r="Y43" s="17">
        <v>0</v>
      </c>
      <c r="Z43" s="17">
        <v>1</v>
      </c>
      <c r="AA43" s="17">
        <v>0</v>
      </c>
      <c r="AB43" s="17">
        <v>0</v>
      </c>
      <c r="AC43" s="17">
        <v>0</v>
      </c>
      <c r="AD43" s="17">
        <v>0</v>
      </c>
      <c r="AE43" s="17">
        <v>0</v>
      </c>
      <c r="AF43" s="17">
        <v>0</v>
      </c>
      <c r="AG43" s="18">
        <v>0</v>
      </c>
      <c r="AI43" s="16">
        <v>0</v>
      </c>
      <c r="AJ43" s="17">
        <v>0</v>
      </c>
      <c r="AK43" s="17">
        <v>0</v>
      </c>
      <c r="AL43" s="17">
        <v>1</v>
      </c>
      <c r="AM43" s="17">
        <v>0</v>
      </c>
      <c r="AN43" s="17">
        <v>0</v>
      </c>
      <c r="AO43" s="17">
        <v>0</v>
      </c>
      <c r="AP43" s="17">
        <v>0</v>
      </c>
      <c r="AQ43" s="17">
        <v>0</v>
      </c>
      <c r="AR43" s="17">
        <v>0</v>
      </c>
      <c r="AS43" s="17">
        <v>0</v>
      </c>
      <c r="AT43" s="17">
        <v>0</v>
      </c>
      <c r="AU43" s="17">
        <v>0</v>
      </c>
      <c r="AV43" s="17">
        <v>0</v>
      </c>
      <c r="AW43" s="17">
        <v>-6.55769</v>
      </c>
      <c r="AX43" s="17">
        <v>0</v>
      </c>
      <c r="AY43" s="17">
        <v>0</v>
      </c>
      <c r="AZ43" s="17">
        <v>0</v>
      </c>
      <c r="BA43" s="17">
        <v>0</v>
      </c>
      <c r="BB43" s="17">
        <v>0</v>
      </c>
      <c r="BC43" s="17">
        <v>0</v>
      </c>
      <c r="BD43" s="17">
        <v>0</v>
      </c>
      <c r="BE43" s="17">
        <v>0</v>
      </c>
      <c r="BF43" s="17">
        <v>0</v>
      </c>
      <c r="BG43" s="17">
        <v>0</v>
      </c>
      <c r="BH43" s="17">
        <v>43.0032981361</v>
      </c>
      <c r="BI43" s="17">
        <v>0</v>
      </c>
      <c r="BJ43" s="17">
        <v>0</v>
      </c>
      <c r="BK43" s="17">
        <v>0</v>
      </c>
      <c r="BL43" s="17">
        <v>0</v>
      </c>
      <c r="BM43" s="17">
        <v>0</v>
      </c>
      <c r="BN43" s="17">
        <v>0</v>
      </c>
      <c r="BO43" s="17">
        <v>0</v>
      </c>
      <c r="BP43" s="17">
        <v>0</v>
      </c>
      <c r="BQ43" s="17">
        <v>0</v>
      </c>
      <c r="BR43" s="17">
        <v>0</v>
      </c>
      <c r="BS43" s="17">
        <v>0</v>
      </c>
      <c r="BT43" s="17">
        <v>0</v>
      </c>
      <c r="BU43" s="17">
        <v>0</v>
      </c>
      <c r="BV43" s="17">
        <v>0</v>
      </c>
      <c r="BW43" s="17">
        <v>0</v>
      </c>
      <c r="BX43" s="17">
        <v>0</v>
      </c>
      <c r="BY43" s="17">
        <v>0</v>
      </c>
      <c r="BZ43" s="17">
        <v>0</v>
      </c>
      <c r="CA43" s="17">
        <v>0</v>
      </c>
      <c r="CB43" s="17">
        <v>0</v>
      </c>
      <c r="CC43" s="17">
        <v>0</v>
      </c>
      <c r="CD43" s="17">
        <v>0</v>
      </c>
      <c r="CE43" s="17">
        <v>0</v>
      </c>
      <c r="CF43" s="17">
        <v>0</v>
      </c>
      <c r="CG43" s="17">
        <v>0</v>
      </c>
      <c r="CH43" s="17">
        <v>0</v>
      </c>
      <c r="CI43" s="17">
        <v>0</v>
      </c>
      <c r="CJ43" s="17">
        <v>0</v>
      </c>
      <c r="CK43" s="18">
        <v>0</v>
      </c>
    </row>
    <row r="44" spans="1:89">
      <c r="A44" s="5" t="s">
        <v>23</v>
      </c>
      <c r="B44" s="44" t="s">
        <v>36</v>
      </c>
      <c r="C44" s="6" t="s">
        <v>39</v>
      </c>
      <c r="D44" s="5">
        <v>29</v>
      </c>
      <c r="E44" s="31">
        <v>0.28800585012073293</v>
      </c>
      <c r="F44" s="38">
        <f t="shared" si="2"/>
        <v>20700.877518109941</v>
      </c>
      <c r="J44" s="44">
        <v>29</v>
      </c>
      <c r="K44" s="73">
        <v>-7.3214699999999997</v>
      </c>
      <c r="L44" s="17">
        <f t="shared" si="0"/>
        <v>53.603922960899993</v>
      </c>
      <c r="M44" s="52">
        <f t="shared" si="3"/>
        <v>0</v>
      </c>
      <c r="N44" s="18">
        <f t="shared" si="1"/>
        <v>0</v>
      </c>
      <c r="Q44" s="57">
        <v>3.8673135388733802E-4</v>
      </c>
      <c r="R44" s="60">
        <v>0</v>
      </c>
      <c r="S44" s="16">
        <v>7</v>
      </c>
      <c r="T44" s="17">
        <v>12</v>
      </c>
      <c r="U44" s="18">
        <v>0.5</v>
      </c>
      <c r="W44" s="16">
        <v>0</v>
      </c>
      <c r="X44" s="17">
        <v>0</v>
      </c>
      <c r="Y44" s="17">
        <v>0</v>
      </c>
      <c r="Z44" s="17">
        <v>1</v>
      </c>
      <c r="AA44" s="17">
        <v>0</v>
      </c>
      <c r="AB44" s="17">
        <v>0</v>
      </c>
      <c r="AC44" s="17">
        <v>0</v>
      </c>
      <c r="AD44" s="17">
        <v>0</v>
      </c>
      <c r="AE44" s="17">
        <v>0</v>
      </c>
      <c r="AF44" s="17">
        <v>0</v>
      </c>
      <c r="AG44" s="18">
        <v>0</v>
      </c>
      <c r="AI44" s="16">
        <v>0</v>
      </c>
      <c r="AJ44" s="17">
        <v>0</v>
      </c>
      <c r="AK44" s="17">
        <v>0</v>
      </c>
      <c r="AL44" s="17">
        <v>1</v>
      </c>
      <c r="AM44" s="17">
        <v>0</v>
      </c>
      <c r="AN44" s="17">
        <v>0</v>
      </c>
      <c r="AO44" s="17">
        <v>0</v>
      </c>
      <c r="AP44" s="17">
        <v>0</v>
      </c>
      <c r="AQ44" s="17">
        <v>0</v>
      </c>
      <c r="AR44" s="17">
        <v>0</v>
      </c>
      <c r="AS44" s="17">
        <v>0</v>
      </c>
      <c r="AT44" s="17">
        <v>0</v>
      </c>
      <c r="AU44" s="17">
        <v>0</v>
      </c>
      <c r="AV44" s="17">
        <v>0</v>
      </c>
      <c r="AW44" s="17">
        <v>-7.3214699999999997</v>
      </c>
      <c r="AX44" s="17">
        <v>0</v>
      </c>
      <c r="AY44" s="17">
        <v>0</v>
      </c>
      <c r="AZ44" s="17">
        <v>0</v>
      </c>
      <c r="BA44" s="17">
        <v>0</v>
      </c>
      <c r="BB44" s="17">
        <v>0</v>
      </c>
      <c r="BC44" s="17">
        <v>0</v>
      </c>
      <c r="BD44" s="17">
        <v>0</v>
      </c>
      <c r="BE44" s="17">
        <v>0</v>
      </c>
      <c r="BF44" s="17">
        <v>0</v>
      </c>
      <c r="BG44" s="17">
        <v>0</v>
      </c>
      <c r="BH44" s="17">
        <v>53.603922960899993</v>
      </c>
      <c r="BI44" s="17">
        <v>0</v>
      </c>
      <c r="BJ44" s="17">
        <v>0</v>
      </c>
      <c r="BK44" s="17">
        <v>0</v>
      </c>
      <c r="BL44" s="17">
        <v>0</v>
      </c>
      <c r="BM44" s="17">
        <v>0</v>
      </c>
      <c r="BN44" s="17">
        <v>0</v>
      </c>
      <c r="BO44" s="17">
        <v>0</v>
      </c>
      <c r="BP44" s="17">
        <v>0</v>
      </c>
      <c r="BQ44" s="17">
        <v>0</v>
      </c>
      <c r="BR44" s="17">
        <v>0</v>
      </c>
      <c r="BS44" s="17">
        <v>0</v>
      </c>
      <c r="BT44" s="17">
        <v>0</v>
      </c>
      <c r="BU44" s="17">
        <v>0</v>
      </c>
      <c r="BV44" s="17">
        <v>0</v>
      </c>
      <c r="BW44" s="17">
        <v>0</v>
      </c>
      <c r="BX44" s="17">
        <v>0</v>
      </c>
      <c r="BY44" s="17">
        <v>0</v>
      </c>
      <c r="BZ44" s="17">
        <v>0</v>
      </c>
      <c r="CA44" s="17">
        <v>0</v>
      </c>
      <c r="CB44" s="17">
        <v>0</v>
      </c>
      <c r="CC44" s="17">
        <v>0</v>
      </c>
      <c r="CD44" s="17">
        <v>0</v>
      </c>
      <c r="CE44" s="17">
        <v>0</v>
      </c>
      <c r="CF44" s="17">
        <v>0</v>
      </c>
      <c r="CG44" s="17">
        <v>0</v>
      </c>
      <c r="CH44" s="17">
        <v>0</v>
      </c>
      <c r="CI44" s="17">
        <v>0</v>
      </c>
      <c r="CJ44" s="17">
        <v>0</v>
      </c>
      <c r="CK44" s="18">
        <v>0</v>
      </c>
    </row>
    <row r="45" spans="1:89">
      <c r="A45" s="5" t="s">
        <v>40</v>
      </c>
      <c r="B45" s="44" t="s">
        <v>41</v>
      </c>
      <c r="C45" s="6" t="s">
        <v>42</v>
      </c>
      <c r="D45" s="5">
        <v>30</v>
      </c>
      <c r="E45" s="31">
        <v>0.12937322367468604</v>
      </c>
      <c r="F45" s="38">
        <f t="shared" si="2"/>
        <v>0</v>
      </c>
      <c r="J45" s="44">
        <v>30</v>
      </c>
      <c r="K45" s="73">
        <v>-4.8309499999999996</v>
      </c>
      <c r="L45" s="17">
        <f t="shared" si="0"/>
        <v>23.338077902499997</v>
      </c>
      <c r="M45" s="52">
        <f t="shared" si="3"/>
        <v>0</v>
      </c>
      <c r="N45" s="18">
        <f t="shared" si="1"/>
        <v>0</v>
      </c>
      <c r="Q45" s="56">
        <v>5.4271806693059104E-4</v>
      </c>
      <c r="R45" s="60">
        <v>3.16857263267235E-2</v>
      </c>
      <c r="S45" s="16">
        <v>8</v>
      </c>
      <c r="T45" s="17">
        <v>2</v>
      </c>
      <c r="U45" s="18">
        <v>0.33333333333333331</v>
      </c>
      <c r="W45" s="16">
        <v>0</v>
      </c>
      <c r="X45" s="17">
        <v>0</v>
      </c>
      <c r="Y45" s="17">
        <v>0</v>
      </c>
      <c r="Z45" s="17">
        <v>0</v>
      </c>
      <c r="AA45" s="17">
        <v>1</v>
      </c>
      <c r="AB45" s="17">
        <v>0</v>
      </c>
      <c r="AC45" s="17">
        <v>0</v>
      </c>
      <c r="AD45" s="17">
        <v>0</v>
      </c>
      <c r="AE45" s="17">
        <v>0</v>
      </c>
      <c r="AF45" s="17">
        <v>0</v>
      </c>
      <c r="AG45" s="18">
        <v>0</v>
      </c>
      <c r="AI45" s="16">
        <v>0</v>
      </c>
      <c r="AJ45" s="17">
        <v>0</v>
      </c>
      <c r="AK45" s="17">
        <v>0</v>
      </c>
      <c r="AL45" s="17">
        <v>0</v>
      </c>
      <c r="AM45" s="17">
        <v>1</v>
      </c>
      <c r="AN45" s="17">
        <v>0</v>
      </c>
      <c r="AO45" s="17">
        <v>0</v>
      </c>
      <c r="AP45" s="17">
        <v>0</v>
      </c>
      <c r="AQ45" s="17">
        <v>0</v>
      </c>
      <c r="AR45" s="17">
        <v>0</v>
      </c>
      <c r="AS45" s="17">
        <v>0</v>
      </c>
      <c r="AT45" s="17">
        <v>0</v>
      </c>
      <c r="AU45" s="17">
        <v>0</v>
      </c>
      <c r="AV45" s="17">
        <v>0</v>
      </c>
      <c r="AW45" s="17">
        <v>0</v>
      </c>
      <c r="AX45" s="17">
        <v>-4.8309499999999996</v>
      </c>
      <c r="AY45" s="17">
        <v>0</v>
      </c>
      <c r="AZ45" s="17">
        <v>0</v>
      </c>
      <c r="BA45" s="17">
        <v>0</v>
      </c>
      <c r="BB45" s="17">
        <v>0</v>
      </c>
      <c r="BC45" s="17">
        <v>0</v>
      </c>
      <c r="BD45" s="17">
        <v>0</v>
      </c>
      <c r="BE45" s="17">
        <v>0</v>
      </c>
      <c r="BF45" s="17">
        <v>0</v>
      </c>
      <c r="BG45" s="17">
        <v>0</v>
      </c>
      <c r="BH45" s="17">
        <v>0</v>
      </c>
      <c r="BI45" s="17">
        <v>23.338077902499997</v>
      </c>
      <c r="BJ45" s="17">
        <v>0</v>
      </c>
      <c r="BK45" s="17">
        <v>0</v>
      </c>
      <c r="BL45" s="17">
        <v>0</v>
      </c>
      <c r="BM45" s="17">
        <v>0</v>
      </c>
      <c r="BN45" s="17">
        <v>0</v>
      </c>
      <c r="BO45" s="17">
        <v>0</v>
      </c>
      <c r="BP45" s="17">
        <v>0</v>
      </c>
      <c r="BQ45" s="17">
        <v>0</v>
      </c>
      <c r="BR45" s="17">
        <v>0</v>
      </c>
      <c r="BS45" s="17">
        <v>0</v>
      </c>
      <c r="BT45" s="17">
        <v>0</v>
      </c>
      <c r="BU45" s="17">
        <v>0</v>
      </c>
      <c r="BV45" s="17">
        <v>0</v>
      </c>
      <c r="BW45" s="17">
        <v>0</v>
      </c>
      <c r="BX45" s="17">
        <v>0</v>
      </c>
      <c r="BY45" s="17">
        <v>0</v>
      </c>
      <c r="BZ45" s="17">
        <v>0</v>
      </c>
      <c r="CA45" s="17">
        <v>0</v>
      </c>
      <c r="CB45" s="17">
        <v>0</v>
      </c>
      <c r="CC45" s="17">
        <v>0</v>
      </c>
      <c r="CD45" s="17">
        <v>0</v>
      </c>
      <c r="CE45" s="17">
        <v>0</v>
      </c>
      <c r="CF45" s="17">
        <v>0</v>
      </c>
      <c r="CG45" s="17">
        <v>0</v>
      </c>
      <c r="CH45" s="17">
        <v>0</v>
      </c>
      <c r="CI45" s="17">
        <v>0</v>
      </c>
      <c r="CJ45" s="17">
        <v>0</v>
      </c>
      <c r="CK45" s="18">
        <v>0</v>
      </c>
    </row>
    <row r="46" spans="1:89">
      <c r="A46" s="5" t="s">
        <v>40</v>
      </c>
      <c r="B46" s="44" t="s">
        <v>41</v>
      </c>
      <c r="C46" s="6" t="s">
        <v>43</v>
      </c>
      <c r="D46" s="5">
        <v>31</v>
      </c>
      <c r="E46" s="31">
        <v>0.13871633632504221</v>
      </c>
      <c r="F46" s="38">
        <f t="shared" si="2"/>
        <v>0</v>
      </c>
      <c r="J46" s="44">
        <v>31</v>
      </c>
      <c r="K46" s="73">
        <v>-5.7967000000000004</v>
      </c>
      <c r="L46" s="17">
        <f t="shared" si="0"/>
        <v>33.601730890000006</v>
      </c>
      <c r="M46" s="52">
        <f t="shared" si="3"/>
        <v>0</v>
      </c>
      <c r="N46" s="18">
        <f t="shared" si="1"/>
        <v>0</v>
      </c>
      <c r="Q46" s="56">
        <v>-2.5265847603969801E-4</v>
      </c>
      <c r="R46" s="60">
        <v>3.5355530904778498E-2</v>
      </c>
      <c r="S46" s="16">
        <v>8</v>
      </c>
      <c r="T46" s="17">
        <v>3</v>
      </c>
      <c r="U46" s="18">
        <v>0.33333333333333331</v>
      </c>
      <c r="W46" s="16">
        <v>0</v>
      </c>
      <c r="X46" s="17">
        <v>0</v>
      </c>
      <c r="Y46" s="17">
        <v>0</v>
      </c>
      <c r="Z46" s="17">
        <v>0</v>
      </c>
      <c r="AA46" s="17">
        <v>1</v>
      </c>
      <c r="AB46" s="17">
        <v>0</v>
      </c>
      <c r="AC46" s="17">
        <v>0</v>
      </c>
      <c r="AD46" s="17">
        <v>0</v>
      </c>
      <c r="AE46" s="17">
        <v>0</v>
      </c>
      <c r="AF46" s="17">
        <v>0</v>
      </c>
      <c r="AG46" s="18">
        <v>0</v>
      </c>
      <c r="AI46" s="16">
        <v>0</v>
      </c>
      <c r="AJ46" s="17">
        <v>0</v>
      </c>
      <c r="AK46" s="17">
        <v>0</v>
      </c>
      <c r="AL46" s="17">
        <v>0</v>
      </c>
      <c r="AM46" s="17">
        <v>1</v>
      </c>
      <c r="AN46" s="17">
        <v>0</v>
      </c>
      <c r="AO46" s="17">
        <v>0</v>
      </c>
      <c r="AP46" s="17">
        <v>0</v>
      </c>
      <c r="AQ46" s="17">
        <v>0</v>
      </c>
      <c r="AR46" s="17">
        <v>0</v>
      </c>
      <c r="AS46" s="17">
        <v>0</v>
      </c>
      <c r="AT46" s="17">
        <v>0</v>
      </c>
      <c r="AU46" s="17">
        <v>0</v>
      </c>
      <c r="AV46" s="17">
        <v>0</v>
      </c>
      <c r="AW46" s="17">
        <v>0</v>
      </c>
      <c r="AX46" s="17">
        <v>-5.7967000000000004</v>
      </c>
      <c r="AY46" s="17">
        <v>0</v>
      </c>
      <c r="AZ46" s="17">
        <v>0</v>
      </c>
      <c r="BA46" s="17">
        <v>0</v>
      </c>
      <c r="BB46" s="17">
        <v>0</v>
      </c>
      <c r="BC46" s="17">
        <v>0</v>
      </c>
      <c r="BD46" s="17">
        <v>0</v>
      </c>
      <c r="BE46" s="17">
        <v>0</v>
      </c>
      <c r="BF46" s="17">
        <v>0</v>
      </c>
      <c r="BG46" s="17">
        <v>0</v>
      </c>
      <c r="BH46" s="17">
        <v>0</v>
      </c>
      <c r="BI46" s="17">
        <v>33.601730890000006</v>
      </c>
      <c r="BJ46" s="17">
        <v>0</v>
      </c>
      <c r="BK46" s="17">
        <v>0</v>
      </c>
      <c r="BL46" s="17">
        <v>0</v>
      </c>
      <c r="BM46" s="17">
        <v>0</v>
      </c>
      <c r="BN46" s="17">
        <v>0</v>
      </c>
      <c r="BO46" s="17">
        <v>0</v>
      </c>
      <c r="BP46" s="17">
        <v>0</v>
      </c>
      <c r="BQ46" s="17">
        <v>0</v>
      </c>
      <c r="BR46" s="17">
        <v>0</v>
      </c>
      <c r="BS46" s="17">
        <v>0</v>
      </c>
      <c r="BT46" s="17">
        <v>0</v>
      </c>
      <c r="BU46" s="17">
        <v>0</v>
      </c>
      <c r="BV46" s="17">
        <v>0</v>
      </c>
      <c r="BW46" s="17">
        <v>0</v>
      </c>
      <c r="BX46" s="17">
        <v>0</v>
      </c>
      <c r="BY46" s="17">
        <v>0</v>
      </c>
      <c r="BZ46" s="17">
        <v>0</v>
      </c>
      <c r="CA46" s="17">
        <v>0</v>
      </c>
      <c r="CB46" s="17">
        <v>0</v>
      </c>
      <c r="CC46" s="17">
        <v>0</v>
      </c>
      <c r="CD46" s="17">
        <v>0</v>
      </c>
      <c r="CE46" s="17">
        <v>0</v>
      </c>
      <c r="CF46" s="17">
        <v>0</v>
      </c>
      <c r="CG46" s="17">
        <v>0</v>
      </c>
      <c r="CH46" s="17">
        <v>0</v>
      </c>
      <c r="CI46" s="17">
        <v>0</v>
      </c>
      <c r="CJ46" s="17">
        <v>0</v>
      </c>
      <c r="CK46" s="18">
        <v>0</v>
      </c>
    </row>
    <row r="47" spans="1:89">
      <c r="A47" s="5" t="s">
        <v>40</v>
      </c>
      <c r="B47" s="44" t="s">
        <v>41</v>
      </c>
      <c r="C47" s="6" t="s">
        <v>44</v>
      </c>
      <c r="D47" s="5">
        <v>32</v>
      </c>
      <c r="E47" s="31">
        <v>0.1290006928723276</v>
      </c>
      <c r="F47" s="38">
        <f t="shared" si="2"/>
        <v>0</v>
      </c>
      <c r="J47" s="44">
        <v>32</v>
      </c>
      <c r="K47" s="73">
        <v>-6.3049799999999996</v>
      </c>
      <c r="L47" s="17">
        <f t="shared" si="0"/>
        <v>39.752772800399995</v>
      </c>
      <c r="M47" s="52">
        <f t="shared" si="3"/>
        <v>0</v>
      </c>
      <c r="N47" s="18">
        <f t="shared" si="1"/>
        <v>0</v>
      </c>
      <c r="Q47" s="57">
        <v>3.5670839653114598E-6</v>
      </c>
      <c r="R47" s="60">
        <v>2.6295637097978601E-2</v>
      </c>
      <c r="S47" s="16">
        <v>8</v>
      </c>
      <c r="T47" s="17">
        <v>13</v>
      </c>
      <c r="U47" s="18">
        <v>0.33333333333333331</v>
      </c>
      <c r="W47" s="16">
        <v>0</v>
      </c>
      <c r="X47" s="17">
        <v>0</v>
      </c>
      <c r="Y47" s="17">
        <v>0</v>
      </c>
      <c r="Z47" s="17">
        <v>0</v>
      </c>
      <c r="AA47" s="17">
        <v>1</v>
      </c>
      <c r="AB47" s="17">
        <v>0</v>
      </c>
      <c r="AC47" s="17">
        <v>0</v>
      </c>
      <c r="AD47" s="17">
        <v>0</v>
      </c>
      <c r="AE47" s="17">
        <v>0</v>
      </c>
      <c r="AF47" s="17">
        <v>0</v>
      </c>
      <c r="AG47" s="18">
        <v>0</v>
      </c>
      <c r="AI47" s="16">
        <v>0</v>
      </c>
      <c r="AJ47" s="17">
        <v>0</v>
      </c>
      <c r="AK47" s="17">
        <v>0</v>
      </c>
      <c r="AL47" s="17">
        <v>0</v>
      </c>
      <c r="AM47" s="17">
        <v>1</v>
      </c>
      <c r="AN47" s="17">
        <v>0</v>
      </c>
      <c r="AO47" s="17">
        <v>0</v>
      </c>
      <c r="AP47" s="17">
        <v>0</v>
      </c>
      <c r="AQ47" s="17">
        <v>0</v>
      </c>
      <c r="AR47" s="17">
        <v>0</v>
      </c>
      <c r="AS47" s="17">
        <v>0</v>
      </c>
      <c r="AT47" s="17">
        <v>0</v>
      </c>
      <c r="AU47" s="17">
        <v>0</v>
      </c>
      <c r="AV47" s="17">
        <v>0</v>
      </c>
      <c r="AW47" s="17">
        <v>0</v>
      </c>
      <c r="AX47" s="17">
        <v>-6.3049799999999996</v>
      </c>
      <c r="AY47" s="17">
        <v>0</v>
      </c>
      <c r="AZ47" s="17">
        <v>0</v>
      </c>
      <c r="BA47" s="17">
        <v>0</v>
      </c>
      <c r="BB47" s="17">
        <v>0</v>
      </c>
      <c r="BC47" s="17">
        <v>0</v>
      </c>
      <c r="BD47" s="17">
        <v>0</v>
      </c>
      <c r="BE47" s="17">
        <v>0</v>
      </c>
      <c r="BF47" s="17">
        <v>0</v>
      </c>
      <c r="BG47" s="17">
        <v>0</v>
      </c>
      <c r="BH47" s="17">
        <v>0</v>
      </c>
      <c r="BI47" s="17">
        <v>39.752772800399995</v>
      </c>
      <c r="BJ47" s="17">
        <v>0</v>
      </c>
      <c r="BK47" s="17">
        <v>0</v>
      </c>
      <c r="BL47" s="17">
        <v>0</v>
      </c>
      <c r="BM47" s="17">
        <v>0</v>
      </c>
      <c r="BN47" s="17">
        <v>0</v>
      </c>
      <c r="BO47" s="17">
        <v>0</v>
      </c>
      <c r="BP47" s="17">
        <v>0</v>
      </c>
      <c r="BQ47" s="17">
        <v>0</v>
      </c>
      <c r="BR47" s="17">
        <v>0</v>
      </c>
      <c r="BS47" s="17">
        <v>0</v>
      </c>
      <c r="BT47" s="17">
        <v>0</v>
      </c>
      <c r="BU47" s="17">
        <v>0</v>
      </c>
      <c r="BV47" s="17">
        <v>0</v>
      </c>
      <c r="BW47" s="17">
        <v>0</v>
      </c>
      <c r="BX47" s="17">
        <v>0</v>
      </c>
      <c r="BY47" s="17">
        <v>0</v>
      </c>
      <c r="BZ47" s="17">
        <v>0</v>
      </c>
      <c r="CA47" s="17">
        <v>0</v>
      </c>
      <c r="CB47" s="17">
        <v>0</v>
      </c>
      <c r="CC47" s="17">
        <v>0</v>
      </c>
      <c r="CD47" s="17">
        <v>0</v>
      </c>
      <c r="CE47" s="17">
        <v>0</v>
      </c>
      <c r="CF47" s="17">
        <v>0</v>
      </c>
      <c r="CG47" s="17">
        <v>0</v>
      </c>
      <c r="CH47" s="17">
        <v>0</v>
      </c>
      <c r="CI47" s="17">
        <v>0</v>
      </c>
      <c r="CJ47" s="17">
        <v>0</v>
      </c>
      <c r="CK47" s="18">
        <v>0</v>
      </c>
    </row>
    <row r="48" spans="1:89">
      <c r="A48" s="5" t="s">
        <v>40</v>
      </c>
      <c r="B48" s="44" t="s">
        <v>41</v>
      </c>
      <c r="C48" s="6" t="s">
        <v>45</v>
      </c>
      <c r="D48" s="5">
        <v>33</v>
      </c>
      <c r="E48" s="31">
        <v>0.13512150737237577</v>
      </c>
      <c r="F48" s="38">
        <f t="shared" si="2"/>
        <v>0</v>
      </c>
      <c r="J48" s="44">
        <v>33</v>
      </c>
      <c r="K48" s="73">
        <v>-1.44109</v>
      </c>
      <c r="L48" s="17">
        <f t="shared" si="0"/>
        <v>2.0767403881000002</v>
      </c>
      <c r="M48" s="52">
        <f t="shared" si="3"/>
        <v>0</v>
      </c>
      <c r="N48" s="18">
        <f t="shared" si="1"/>
        <v>0</v>
      </c>
      <c r="Q48" s="56">
        <v>1.1178325765252601E-4</v>
      </c>
      <c r="R48" s="60">
        <v>5.0229624735402698E-2</v>
      </c>
      <c r="S48" s="16">
        <v>9</v>
      </c>
      <c r="T48" s="17">
        <v>1</v>
      </c>
      <c r="U48" s="18">
        <v>0.14285714285714285</v>
      </c>
      <c r="W48" s="16">
        <v>0</v>
      </c>
      <c r="X48" s="17">
        <v>0</v>
      </c>
      <c r="Y48" s="17">
        <v>0</v>
      </c>
      <c r="Z48" s="17">
        <v>0</v>
      </c>
      <c r="AA48" s="17">
        <v>1</v>
      </c>
      <c r="AB48" s="17">
        <v>0</v>
      </c>
      <c r="AC48" s="17">
        <v>0</v>
      </c>
      <c r="AD48" s="17">
        <v>0</v>
      </c>
      <c r="AE48" s="17">
        <v>0</v>
      </c>
      <c r="AF48" s="17">
        <v>0</v>
      </c>
      <c r="AG48" s="18">
        <v>0</v>
      </c>
      <c r="AI48" s="16">
        <v>0</v>
      </c>
      <c r="AJ48" s="17">
        <v>0</v>
      </c>
      <c r="AK48" s="17">
        <v>0</v>
      </c>
      <c r="AL48" s="17">
        <v>0</v>
      </c>
      <c r="AM48" s="17">
        <v>1</v>
      </c>
      <c r="AN48" s="17">
        <v>0</v>
      </c>
      <c r="AO48" s="17">
        <v>0</v>
      </c>
      <c r="AP48" s="17">
        <v>0</v>
      </c>
      <c r="AQ48" s="17">
        <v>0</v>
      </c>
      <c r="AR48" s="17">
        <v>0</v>
      </c>
      <c r="AS48" s="17">
        <v>0</v>
      </c>
      <c r="AT48" s="17">
        <v>0</v>
      </c>
      <c r="AU48" s="17">
        <v>0</v>
      </c>
      <c r="AV48" s="17">
        <v>0</v>
      </c>
      <c r="AW48" s="17">
        <v>0</v>
      </c>
      <c r="AX48" s="17">
        <v>-1.44109</v>
      </c>
      <c r="AY48" s="17">
        <v>0</v>
      </c>
      <c r="AZ48" s="17">
        <v>0</v>
      </c>
      <c r="BA48" s="17">
        <v>0</v>
      </c>
      <c r="BB48" s="17">
        <v>0</v>
      </c>
      <c r="BC48" s="17">
        <v>0</v>
      </c>
      <c r="BD48" s="17">
        <v>0</v>
      </c>
      <c r="BE48" s="17">
        <v>0</v>
      </c>
      <c r="BF48" s="17">
        <v>0</v>
      </c>
      <c r="BG48" s="17">
        <v>0</v>
      </c>
      <c r="BH48" s="17">
        <v>0</v>
      </c>
      <c r="BI48" s="17">
        <v>2.0767403881000002</v>
      </c>
      <c r="BJ48" s="17">
        <v>0</v>
      </c>
      <c r="BK48" s="17">
        <v>0</v>
      </c>
      <c r="BL48" s="17">
        <v>0</v>
      </c>
      <c r="BM48" s="17">
        <v>0</v>
      </c>
      <c r="BN48" s="17">
        <v>0</v>
      </c>
      <c r="BO48" s="17">
        <v>0</v>
      </c>
      <c r="BP48" s="17">
        <v>0</v>
      </c>
      <c r="BQ48" s="17">
        <v>0</v>
      </c>
      <c r="BR48" s="17">
        <v>0</v>
      </c>
      <c r="BS48" s="17">
        <v>0</v>
      </c>
      <c r="BT48" s="17">
        <v>0</v>
      </c>
      <c r="BU48" s="17">
        <v>0</v>
      </c>
      <c r="BV48" s="17">
        <v>0</v>
      </c>
      <c r="BW48" s="17">
        <v>0</v>
      </c>
      <c r="BX48" s="17">
        <v>0</v>
      </c>
      <c r="BY48" s="17">
        <v>0</v>
      </c>
      <c r="BZ48" s="17">
        <v>0</v>
      </c>
      <c r="CA48" s="17">
        <v>0</v>
      </c>
      <c r="CB48" s="17">
        <v>0</v>
      </c>
      <c r="CC48" s="17">
        <v>0</v>
      </c>
      <c r="CD48" s="17">
        <v>0</v>
      </c>
      <c r="CE48" s="17">
        <v>0</v>
      </c>
      <c r="CF48" s="17">
        <v>0</v>
      </c>
      <c r="CG48" s="17">
        <v>0</v>
      </c>
      <c r="CH48" s="17">
        <v>0</v>
      </c>
      <c r="CI48" s="17">
        <v>0</v>
      </c>
      <c r="CJ48" s="17">
        <v>0</v>
      </c>
      <c r="CK48" s="18">
        <v>0</v>
      </c>
    </row>
    <row r="49" spans="1:89">
      <c r="A49" s="5" t="s">
        <v>40</v>
      </c>
      <c r="B49" s="44" t="s">
        <v>41</v>
      </c>
      <c r="C49" s="6" t="s">
        <v>46</v>
      </c>
      <c r="D49" s="5">
        <v>34</v>
      </c>
      <c r="E49" s="31">
        <v>0.15270270372798955</v>
      </c>
      <c r="F49" s="38">
        <f t="shared" si="2"/>
        <v>405.40555919843371</v>
      </c>
      <c r="J49" s="44">
        <v>34</v>
      </c>
      <c r="K49" s="73">
        <v>-4.7479100000000001</v>
      </c>
      <c r="L49" s="17">
        <f t="shared" si="0"/>
        <v>22.542649368100001</v>
      </c>
      <c r="M49" s="52">
        <f t="shared" si="3"/>
        <v>0</v>
      </c>
      <c r="N49" s="18">
        <f t="shared" si="1"/>
        <v>0</v>
      </c>
      <c r="Q49" s="56">
        <v>-1.5145680278959401E-3</v>
      </c>
      <c r="R49" s="60">
        <v>5.3302574676840499E-2</v>
      </c>
      <c r="S49" s="16">
        <v>9</v>
      </c>
      <c r="T49" s="17">
        <v>4</v>
      </c>
      <c r="U49" s="18">
        <v>0.14285714285714285</v>
      </c>
      <c r="W49" s="16">
        <v>0</v>
      </c>
      <c r="X49" s="17">
        <v>0</v>
      </c>
      <c r="Y49" s="17">
        <v>0</v>
      </c>
      <c r="Z49" s="17">
        <v>0</v>
      </c>
      <c r="AA49" s="17">
        <v>1</v>
      </c>
      <c r="AB49" s="17">
        <v>0</v>
      </c>
      <c r="AC49" s="17">
        <v>0</v>
      </c>
      <c r="AD49" s="17">
        <v>0</v>
      </c>
      <c r="AE49" s="17">
        <v>0</v>
      </c>
      <c r="AF49" s="17">
        <v>0</v>
      </c>
      <c r="AG49" s="18">
        <v>0</v>
      </c>
      <c r="AI49" s="16">
        <v>0</v>
      </c>
      <c r="AJ49" s="17">
        <v>0</v>
      </c>
      <c r="AK49" s="17">
        <v>0</v>
      </c>
      <c r="AL49" s="17">
        <v>0</v>
      </c>
      <c r="AM49" s="17">
        <v>1</v>
      </c>
      <c r="AN49" s="17">
        <v>0</v>
      </c>
      <c r="AO49" s="17">
        <v>0</v>
      </c>
      <c r="AP49" s="17">
        <v>0</v>
      </c>
      <c r="AQ49" s="17">
        <v>0</v>
      </c>
      <c r="AR49" s="17">
        <v>0</v>
      </c>
      <c r="AS49" s="17">
        <v>0</v>
      </c>
      <c r="AT49" s="17">
        <v>0</v>
      </c>
      <c r="AU49" s="17">
        <v>0</v>
      </c>
      <c r="AV49" s="17">
        <v>0</v>
      </c>
      <c r="AW49" s="17">
        <v>0</v>
      </c>
      <c r="AX49" s="17">
        <v>-4.7479100000000001</v>
      </c>
      <c r="AY49" s="17">
        <v>0</v>
      </c>
      <c r="AZ49" s="17">
        <v>0</v>
      </c>
      <c r="BA49" s="17">
        <v>0</v>
      </c>
      <c r="BB49" s="17">
        <v>0</v>
      </c>
      <c r="BC49" s="17">
        <v>0</v>
      </c>
      <c r="BD49" s="17">
        <v>0</v>
      </c>
      <c r="BE49" s="17">
        <v>0</v>
      </c>
      <c r="BF49" s="17">
        <v>0</v>
      </c>
      <c r="BG49" s="17">
        <v>0</v>
      </c>
      <c r="BH49" s="17">
        <v>0</v>
      </c>
      <c r="BI49" s="17">
        <v>22.542649368100001</v>
      </c>
      <c r="BJ49" s="17">
        <v>0</v>
      </c>
      <c r="BK49" s="17">
        <v>0</v>
      </c>
      <c r="BL49" s="17">
        <v>0</v>
      </c>
      <c r="BM49" s="17">
        <v>0</v>
      </c>
      <c r="BN49" s="17">
        <v>0</v>
      </c>
      <c r="BO49" s="17">
        <v>0</v>
      </c>
      <c r="BP49" s="17">
        <v>0</v>
      </c>
      <c r="BQ49" s="17">
        <v>0</v>
      </c>
      <c r="BR49" s="17">
        <v>0</v>
      </c>
      <c r="BS49" s="17">
        <v>0</v>
      </c>
      <c r="BT49" s="17">
        <v>0</v>
      </c>
      <c r="BU49" s="17">
        <v>0</v>
      </c>
      <c r="BV49" s="17">
        <v>0</v>
      </c>
      <c r="BW49" s="17">
        <v>0</v>
      </c>
      <c r="BX49" s="17">
        <v>0</v>
      </c>
      <c r="BY49" s="17">
        <v>0</v>
      </c>
      <c r="BZ49" s="17">
        <v>0</v>
      </c>
      <c r="CA49" s="17">
        <v>0</v>
      </c>
      <c r="CB49" s="17">
        <v>0</v>
      </c>
      <c r="CC49" s="17">
        <v>0</v>
      </c>
      <c r="CD49" s="17">
        <v>0</v>
      </c>
      <c r="CE49" s="17">
        <v>0</v>
      </c>
      <c r="CF49" s="17">
        <v>0</v>
      </c>
      <c r="CG49" s="17">
        <v>0</v>
      </c>
      <c r="CH49" s="17">
        <v>0</v>
      </c>
      <c r="CI49" s="17">
        <v>0</v>
      </c>
      <c r="CJ49" s="17">
        <v>0</v>
      </c>
      <c r="CK49" s="18">
        <v>0</v>
      </c>
    </row>
    <row r="50" spans="1:89">
      <c r="A50" s="5" t="s">
        <v>40</v>
      </c>
      <c r="B50" s="44" t="s">
        <v>41</v>
      </c>
      <c r="C50" s="6" t="s">
        <v>47</v>
      </c>
      <c r="D50" s="5">
        <v>35</v>
      </c>
      <c r="E50" s="31">
        <v>0.12282291068714973</v>
      </c>
      <c r="F50" s="38">
        <f t="shared" si="2"/>
        <v>0</v>
      </c>
      <c r="J50" s="44">
        <v>35</v>
      </c>
      <c r="K50" s="73">
        <v>-4.3376900000000003</v>
      </c>
      <c r="L50" s="17">
        <f t="shared" si="0"/>
        <v>18.815554536100002</v>
      </c>
      <c r="M50" s="52">
        <f t="shared" si="3"/>
        <v>0</v>
      </c>
      <c r="N50" s="18">
        <f t="shared" si="1"/>
        <v>0</v>
      </c>
      <c r="Q50" s="56">
        <v>-4.1340429035694303E-3</v>
      </c>
      <c r="R50" s="60">
        <v>2.6296260416504201E-2</v>
      </c>
      <c r="S50" s="16">
        <v>9</v>
      </c>
      <c r="T50" s="17">
        <v>5</v>
      </c>
      <c r="U50" s="18">
        <v>0.14285714285714285</v>
      </c>
      <c r="W50" s="16">
        <v>0</v>
      </c>
      <c r="X50" s="17">
        <v>0</v>
      </c>
      <c r="Y50" s="17">
        <v>0</v>
      </c>
      <c r="Z50" s="17">
        <v>0</v>
      </c>
      <c r="AA50" s="17">
        <v>1</v>
      </c>
      <c r="AB50" s="17">
        <v>0</v>
      </c>
      <c r="AC50" s="17">
        <v>0</v>
      </c>
      <c r="AD50" s="17">
        <v>0</v>
      </c>
      <c r="AE50" s="17">
        <v>0</v>
      </c>
      <c r="AF50" s="17">
        <v>0</v>
      </c>
      <c r="AG50" s="18">
        <v>0</v>
      </c>
      <c r="AI50" s="16">
        <v>0</v>
      </c>
      <c r="AJ50" s="17">
        <v>0</v>
      </c>
      <c r="AK50" s="17">
        <v>0</v>
      </c>
      <c r="AL50" s="17">
        <v>0</v>
      </c>
      <c r="AM50" s="17">
        <v>1</v>
      </c>
      <c r="AN50" s="17">
        <v>0</v>
      </c>
      <c r="AO50" s="17">
        <v>0</v>
      </c>
      <c r="AP50" s="17">
        <v>0</v>
      </c>
      <c r="AQ50" s="17">
        <v>0</v>
      </c>
      <c r="AR50" s="17">
        <v>0</v>
      </c>
      <c r="AS50" s="17">
        <v>0</v>
      </c>
      <c r="AT50" s="17">
        <v>0</v>
      </c>
      <c r="AU50" s="17">
        <v>0</v>
      </c>
      <c r="AV50" s="17">
        <v>0</v>
      </c>
      <c r="AW50" s="17">
        <v>0</v>
      </c>
      <c r="AX50" s="17">
        <v>-4.3376900000000003</v>
      </c>
      <c r="AY50" s="17">
        <v>0</v>
      </c>
      <c r="AZ50" s="17">
        <v>0</v>
      </c>
      <c r="BA50" s="17">
        <v>0</v>
      </c>
      <c r="BB50" s="17">
        <v>0</v>
      </c>
      <c r="BC50" s="17">
        <v>0</v>
      </c>
      <c r="BD50" s="17">
        <v>0</v>
      </c>
      <c r="BE50" s="17">
        <v>0</v>
      </c>
      <c r="BF50" s="17">
        <v>0</v>
      </c>
      <c r="BG50" s="17">
        <v>0</v>
      </c>
      <c r="BH50" s="17">
        <v>0</v>
      </c>
      <c r="BI50" s="17">
        <v>18.815554536100002</v>
      </c>
      <c r="BJ50" s="17">
        <v>0</v>
      </c>
      <c r="BK50" s="17">
        <v>0</v>
      </c>
      <c r="BL50" s="17">
        <v>0</v>
      </c>
      <c r="BM50" s="17">
        <v>0</v>
      </c>
      <c r="BN50" s="17">
        <v>0</v>
      </c>
      <c r="BO50" s="17">
        <v>0</v>
      </c>
      <c r="BP50" s="17">
        <v>0</v>
      </c>
      <c r="BQ50" s="17">
        <v>0</v>
      </c>
      <c r="BR50" s="17">
        <v>0</v>
      </c>
      <c r="BS50" s="17">
        <v>0</v>
      </c>
      <c r="BT50" s="17">
        <v>0</v>
      </c>
      <c r="BU50" s="17">
        <v>0</v>
      </c>
      <c r="BV50" s="17">
        <v>0</v>
      </c>
      <c r="BW50" s="17">
        <v>0</v>
      </c>
      <c r="BX50" s="17">
        <v>0</v>
      </c>
      <c r="BY50" s="17">
        <v>0</v>
      </c>
      <c r="BZ50" s="17">
        <v>0</v>
      </c>
      <c r="CA50" s="17">
        <v>0</v>
      </c>
      <c r="CB50" s="17">
        <v>0</v>
      </c>
      <c r="CC50" s="17">
        <v>0</v>
      </c>
      <c r="CD50" s="17">
        <v>0</v>
      </c>
      <c r="CE50" s="17">
        <v>0</v>
      </c>
      <c r="CF50" s="17">
        <v>0</v>
      </c>
      <c r="CG50" s="17">
        <v>0</v>
      </c>
      <c r="CH50" s="17">
        <v>0</v>
      </c>
      <c r="CI50" s="17">
        <v>0</v>
      </c>
      <c r="CJ50" s="17">
        <v>0</v>
      </c>
      <c r="CK50" s="18">
        <v>0</v>
      </c>
    </row>
    <row r="51" spans="1:89">
      <c r="A51" s="5" t="s">
        <v>23</v>
      </c>
      <c r="B51" s="44" t="s">
        <v>48</v>
      </c>
      <c r="C51" s="6" t="s">
        <v>49</v>
      </c>
      <c r="D51" s="5">
        <v>36</v>
      </c>
      <c r="E51" s="31">
        <v>0.16396262994461747</v>
      </c>
      <c r="F51" s="38">
        <f t="shared" si="2"/>
        <v>2094.3944916926207</v>
      </c>
      <c r="J51" s="44">
        <v>36</v>
      </c>
      <c r="K51" s="73">
        <v>-5.8596500000000003E-2</v>
      </c>
      <c r="L51" s="17">
        <f t="shared" si="0"/>
        <v>3.4335498122500005E-3</v>
      </c>
      <c r="M51" s="52">
        <f t="shared" si="3"/>
        <v>0</v>
      </c>
      <c r="N51" s="18">
        <f t="shared" si="1"/>
        <v>0</v>
      </c>
      <c r="Q51" s="56">
        <v>2.3399112597580199E-3</v>
      </c>
      <c r="R51" s="60">
        <v>0</v>
      </c>
      <c r="S51" s="16">
        <v>9</v>
      </c>
      <c r="T51" s="17">
        <v>6</v>
      </c>
      <c r="U51" s="18">
        <v>0.14285714285714285</v>
      </c>
      <c r="W51" s="16">
        <v>0</v>
      </c>
      <c r="X51" s="17">
        <v>0</v>
      </c>
      <c r="Y51" s="17">
        <v>0</v>
      </c>
      <c r="Z51" s="17">
        <v>0</v>
      </c>
      <c r="AA51" s="17">
        <v>0</v>
      </c>
      <c r="AB51" s="17">
        <v>1</v>
      </c>
      <c r="AC51" s="17">
        <v>0</v>
      </c>
      <c r="AD51" s="17">
        <v>0</v>
      </c>
      <c r="AE51" s="17">
        <v>0</v>
      </c>
      <c r="AF51" s="17">
        <v>0</v>
      </c>
      <c r="AG51" s="18">
        <v>0</v>
      </c>
      <c r="AI51" s="16">
        <v>0</v>
      </c>
      <c r="AJ51" s="17">
        <v>0</v>
      </c>
      <c r="AK51" s="17">
        <v>0</v>
      </c>
      <c r="AL51" s="17">
        <v>0</v>
      </c>
      <c r="AM51" s="17">
        <v>0</v>
      </c>
      <c r="AN51" s="17">
        <v>1</v>
      </c>
      <c r="AO51" s="17">
        <v>0</v>
      </c>
      <c r="AP51" s="17">
        <v>0</v>
      </c>
      <c r="AQ51" s="17">
        <v>0</v>
      </c>
      <c r="AR51" s="17">
        <v>0</v>
      </c>
      <c r="AS51" s="17">
        <v>0</v>
      </c>
      <c r="AT51" s="17">
        <v>0</v>
      </c>
      <c r="AU51" s="17">
        <v>0</v>
      </c>
      <c r="AV51" s="17">
        <v>0</v>
      </c>
      <c r="AW51" s="17">
        <v>0</v>
      </c>
      <c r="AX51" s="17">
        <v>0</v>
      </c>
      <c r="AY51" s="17">
        <v>-5.8596500000000003E-2</v>
      </c>
      <c r="AZ51" s="17">
        <v>0</v>
      </c>
      <c r="BA51" s="17">
        <v>0</v>
      </c>
      <c r="BB51" s="17">
        <v>0</v>
      </c>
      <c r="BC51" s="17">
        <v>0</v>
      </c>
      <c r="BD51" s="17">
        <v>0</v>
      </c>
      <c r="BE51" s="17">
        <v>0</v>
      </c>
      <c r="BF51" s="17">
        <v>0</v>
      </c>
      <c r="BG51" s="17">
        <v>0</v>
      </c>
      <c r="BH51" s="17">
        <v>0</v>
      </c>
      <c r="BI51" s="17">
        <v>0</v>
      </c>
      <c r="BJ51" s="17">
        <v>3.4335498122500005E-3</v>
      </c>
      <c r="BK51" s="17">
        <v>0</v>
      </c>
      <c r="BL51" s="17">
        <v>0</v>
      </c>
      <c r="BM51" s="17">
        <v>0</v>
      </c>
      <c r="BN51" s="17">
        <v>0</v>
      </c>
      <c r="BO51" s="17">
        <v>0</v>
      </c>
      <c r="BP51" s="17">
        <v>0</v>
      </c>
      <c r="BQ51" s="17">
        <v>0</v>
      </c>
      <c r="BR51" s="17">
        <v>0</v>
      </c>
      <c r="BS51" s="17">
        <v>0</v>
      </c>
      <c r="BT51" s="17">
        <v>0</v>
      </c>
      <c r="BU51" s="17">
        <v>0</v>
      </c>
      <c r="BV51" s="17">
        <v>0</v>
      </c>
      <c r="BW51" s="17">
        <v>0</v>
      </c>
      <c r="BX51" s="17">
        <v>0</v>
      </c>
      <c r="BY51" s="17">
        <v>0</v>
      </c>
      <c r="BZ51" s="17">
        <v>0</v>
      </c>
      <c r="CA51" s="17">
        <v>0</v>
      </c>
      <c r="CB51" s="17">
        <v>0</v>
      </c>
      <c r="CC51" s="17">
        <v>0</v>
      </c>
      <c r="CD51" s="17">
        <v>0</v>
      </c>
      <c r="CE51" s="17">
        <v>0</v>
      </c>
      <c r="CF51" s="17">
        <v>0</v>
      </c>
      <c r="CG51" s="17">
        <v>0</v>
      </c>
      <c r="CH51" s="17">
        <v>0</v>
      </c>
      <c r="CI51" s="17">
        <v>0</v>
      </c>
      <c r="CJ51" s="17">
        <v>0</v>
      </c>
      <c r="CK51" s="18">
        <v>0</v>
      </c>
    </row>
    <row r="52" spans="1:89">
      <c r="A52" s="5" t="s">
        <v>23</v>
      </c>
      <c r="B52" s="44" t="s">
        <v>48</v>
      </c>
      <c r="C52" s="6" t="s">
        <v>50</v>
      </c>
      <c r="D52" s="5">
        <v>37</v>
      </c>
      <c r="E52" s="31">
        <v>0.15284199560894771</v>
      </c>
      <c r="F52" s="38">
        <f t="shared" si="2"/>
        <v>426.29934134215671</v>
      </c>
      <c r="J52" s="44">
        <v>37</v>
      </c>
      <c r="K52" s="73">
        <v>1.9448099999999999</v>
      </c>
      <c r="L52" s="17">
        <f t="shared" si="0"/>
        <v>3.7822859360999996</v>
      </c>
      <c r="M52" s="52">
        <f t="shared" si="3"/>
        <v>0</v>
      </c>
      <c r="N52" s="18">
        <f t="shared" si="1"/>
        <v>0</v>
      </c>
      <c r="Q52" s="56">
        <v>3.4274344055493997E-2</v>
      </c>
      <c r="R52" s="60">
        <v>0</v>
      </c>
      <c r="S52" s="16">
        <v>9</v>
      </c>
      <c r="T52" s="17">
        <v>10</v>
      </c>
      <c r="U52" s="18">
        <v>0.14285714285714285</v>
      </c>
      <c r="W52" s="16">
        <v>0</v>
      </c>
      <c r="X52" s="17">
        <v>0</v>
      </c>
      <c r="Y52" s="17">
        <v>0</v>
      </c>
      <c r="Z52" s="17">
        <v>0</v>
      </c>
      <c r="AA52" s="17">
        <v>0</v>
      </c>
      <c r="AB52" s="17">
        <v>1</v>
      </c>
      <c r="AC52" s="17">
        <v>0</v>
      </c>
      <c r="AD52" s="17">
        <v>0</v>
      </c>
      <c r="AE52" s="17">
        <v>0</v>
      </c>
      <c r="AF52" s="17">
        <v>0</v>
      </c>
      <c r="AG52" s="18">
        <v>0</v>
      </c>
      <c r="AI52" s="16">
        <v>0</v>
      </c>
      <c r="AJ52" s="17">
        <v>0</v>
      </c>
      <c r="AK52" s="17">
        <v>0</v>
      </c>
      <c r="AL52" s="17">
        <v>0</v>
      </c>
      <c r="AM52" s="17">
        <v>0</v>
      </c>
      <c r="AN52" s="17">
        <v>1</v>
      </c>
      <c r="AO52" s="17">
        <v>0</v>
      </c>
      <c r="AP52" s="17">
        <v>0</v>
      </c>
      <c r="AQ52" s="17">
        <v>0</v>
      </c>
      <c r="AR52" s="17">
        <v>0</v>
      </c>
      <c r="AS52" s="17">
        <v>0</v>
      </c>
      <c r="AT52" s="17">
        <v>0</v>
      </c>
      <c r="AU52" s="17">
        <v>0</v>
      </c>
      <c r="AV52" s="17">
        <v>0</v>
      </c>
      <c r="AW52" s="17">
        <v>0</v>
      </c>
      <c r="AX52" s="17">
        <v>0</v>
      </c>
      <c r="AY52" s="17">
        <v>1.9448099999999999</v>
      </c>
      <c r="AZ52" s="17">
        <v>0</v>
      </c>
      <c r="BA52" s="17">
        <v>0</v>
      </c>
      <c r="BB52" s="17">
        <v>0</v>
      </c>
      <c r="BC52" s="17">
        <v>0</v>
      </c>
      <c r="BD52" s="17">
        <v>0</v>
      </c>
      <c r="BE52" s="17">
        <v>0</v>
      </c>
      <c r="BF52" s="17">
        <v>0</v>
      </c>
      <c r="BG52" s="17">
        <v>0</v>
      </c>
      <c r="BH52" s="17">
        <v>0</v>
      </c>
      <c r="BI52" s="17">
        <v>0</v>
      </c>
      <c r="BJ52" s="17">
        <v>3.7822859360999996</v>
      </c>
      <c r="BK52" s="17">
        <v>0</v>
      </c>
      <c r="BL52" s="17">
        <v>0</v>
      </c>
      <c r="BM52" s="17">
        <v>0</v>
      </c>
      <c r="BN52" s="17">
        <v>0</v>
      </c>
      <c r="BO52" s="17">
        <v>0</v>
      </c>
      <c r="BP52" s="17">
        <v>0</v>
      </c>
      <c r="BQ52" s="17">
        <v>0</v>
      </c>
      <c r="BR52" s="17">
        <v>0</v>
      </c>
      <c r="BS52" s="17">
        <v>0</v>
      </c>
      <c r="BT52" s="17">
        <v>0</v>
      </c>
      <c r="BU52" s="17">
        <v>0</v>
      </c>
      <c r="BV52" s="17">
        <v>0</v>
      </c>
      <c r="BW52" s="17">
        <v>0</v>
      </c>
      <c r="BX52" s="17">
        <v>0</v>
      </c>
      <c r="BY52" s="17">
        <v>0</v>
      </c>
      <c r="BZ52" s="17">
        <v>0</v>
      </c>
      <c r="CA52" s="17">
        <v>0</v>
      </c>
      <c r="CB52" s="17">
        <v>0</v>
      </c>
      <c r="CC52" s="17">
        <v>0</v>
      </c>
      <c r="CD52" s="17">
        <v>0</v>
      </c>
      <c r="CE52" s="17">
        <v>0</v>
      </c>
      <c r="CF52" s="17">
        <v>0</v>
      </c>
      <c r="CG52" s="17">
        <v>0</v>
      </c>
      <c r="CH52" s="17">
        <v>0</v>
      </c>
      <c r="CI52" s="17">
        <v>0</v>
      </c>
      <c r="CJ52" s="17">
        <v>0</v>
      </c>
      <c r="CK52" s="18">
        <v>0</v>
      </c>
    </row>
    <row r="53" spans="1:89">
      <c r="A53" s="5" t="s">
        <v>23</v>
      </c>
      <c r="B53" s="44" t="s">
        <v>48</v>
      </c>
      <c r="C53" s="6" t="s">
        <v>51</v>
      </c>
      <c r="D53" s="5">
        <v>38</v>
      </c>
      <c r="E53" s="31">
        <v>0.17318825768265028</v>
      </c>
      <c r="F53" s="38">
        <f t="shared" si="2"/>
        <v>3478.2386523975429</v>
      </c>
      <c r="J53" s="44">
        <v>38</v>
      </c>
      <c r="K53" s="73">
        <v>-1.40534</v>
      </c>
      <c r="L53" s="17">
        <f t="shared" si="0"/>
        <v>1.9749805156</v>
      </c>
      <c r="M53" s="52">
        <f t="shared" si="3"/>
        <v>0</v>
      </c>
      <c r="N53" s="18">
        <f t="shared" si="1"/>
        <v>0</v>
      </c>
      <c r="Q53" s="56">
        <v>-2.6812424167333101E-3</v>
      </c>
      <c r="R53" s="60">
        <v>0</v>
      </c>
      <c r="S53" s="16">
        <v>9</v>
      </c>
      <c r="T53" s="17">
        <v>11</v>
      </c>
      <c r="U53" s="18">
        <v>0.14285714285714285</v>
      </c>
      <c r="W53" s="16">
        <v>0</v>
      </c>
      <c r="X53" s="17">
        <v>0</v>
      </c>
      <c r="Y53" s="17">
        <v>0</v>
      </c>
      <c r="Z53" s="17">
        <v>0</v>
      </c>
      <c r="AA53" s="17">
        <v>0</v>
      </c>
      <c r="AB53" s="17">
        <v>1</v>
      </c>
      <c r="AC53" s="17">
        <v>0</v>
      </c>
      <c r="AD53" s="17">
        <v>0</v>
      </c>
      <c r="AE53" s="17">
        <v>0</v>
      </c>
      <c r="AF53" s="17">
        <v>0</v>
      </c>
      <c r="AG53" s="18">
        <v>0</v>
      </c>
      <c r="AI53" s="16">
        <v>0</v>
      </c>
      <c r="AJ53" s="17">
        <v>0</v>
      </c>
      <c r="AK53" s="17">
        <v>0</v>
      </c>
      <c r="AL53" s="17">
        <v>0</v>
      </c>
      <c r="AM53" s="17">
        <v>0</v>
      </c>
      <c r="AN53" s="17">
        <v>1</v>
      </c>
      <c r="AO53" s="17">
        <v>0</v>
      </c>
      <c r="AP53" s="17">
        <v>0</v>
      </c>
      <c r="AQ53" s="17">
        <v>0</v>
      </c>
      <c r="AR53" s="17">
        <v>0</v>
      </c>
      <c r="AS53" s="17">
        <v>0</v>
      </c>
      <c r="AT53" s="17">
        <v>0</v>
      </c>
      <c r="AU53" s="17">
        <v>0</v>
      </c>
      <c r="AV53" s="17">
        <v>0</v>
      </c>
      <c r="AW53" s="17">
        <v>0</v>
      </c>
      <c r="AX53" s="17">
        <v>0</v>
      </c>
      <c r="AY53" s="17">
        <v>-1.40534</v>
      </c>
      <c r="AZ53" s="17">
        <v>0</v>
      </c>
      <c r="BA53" s="17">
        <v>0</v>
      </c>
      <c r="BB53" s="17">
        <v>0</v>
      </c>
      <c r="BC53" s="17">
        <v>0</v>
      </c>
      <c r="BD53" s="17">
        <v>0</v>
      </c>
      <c r="BE53" s="17">
        <v>0</v>
      </c>
      <c r="BF53" s="17">
        <v>0</v>
      </c>
      <c r="BG53" s="17">
        <v>0</v>
      </c>
      <c r="BH53" s="17">
        <v>0</v>
      </c>
      <c r="BI53" s="17">
        <v>0</v>
      </c>
      <c r="BJ53" s="17">
        <v>1.9749805156</v>
      </c>
      <c r="BK53" s="17">
        <v>0</v>
      </c>
      <c r="BL53" s="17">
        <v>0</v>
      </c>
      <c r="BM53" s="17">
        <v>0</v>
      </c>
      <c r="BN53" s="17">
        <v>0</v>
      </c>
      <c r="BO53" s="17">
        <v>0</v>
      </c>
      <c r="BP53" s="17">
        <v>0</v>
      </c>
      <c r="BQ53" s="17">
        <v>0</v>
      </c>
      <c r="BR53" s="17">
        <v>0</v>
      </c>
      <c r="BS53" s="17">
        <v>0</v>
      </c>
      <c r="BT53" s="17">
        <v>0</v>
      </c>
      <c r="BU53" s="17">
        <v>0</v>
      </c>
      <c r="BV53" s="17">
        <v>0</v>
      </c>
      <c r="BW53" s="17">
        <v>0</v>
      </c>
      <c r="BX53" s="17">
        <v>0</v>
      </c>
      <c r="BY53" s="17">
        <v>0</v>
      </c>
      <c r="BZ53" s="17">
        <v>0</v>
      </c>
      <c r="CA53" s="17">
        <v>0</v>
      </c>
      <c r="CB53" s="17">
        <v>0</v>
      </c>
      <c r="CC53" s="17">
        <v>0</v>
      </c>
      <c r="CD53" s="17">
        <v>0</v>
      </c>
      <c r="CE53" s="17">
        <v>0</v>
      </c>
      <c r="CF53" s="17">
        <v>0</v>
      </c>
      <c r="CG53" s="17">
        <v>0</v>
      </c>
      <c r="CH53" s="17">
        <v>0</v>
      </c>
      <c r="CI53" s="17">
        <v>0</v>
      </c>
      <c r="CJ53" s="17">
        <v>0</v>
      </c>
      <c r="CK53" s="18">
        <v>0</v>
      </c>
    </row>
    <row r="54" spans="1:89">
      <c r="A54" s="5" t="s">
        <v>23</v>
      </c>
      <c r="B54" s="44" t="s">
        <v>48</v>
      </c>
      <c r="C54" s="6" t="s">
        <v>54</v>
      </c>
      <c r="D54" s="5">
        <v>39</v>
      </c>
      <c r="E54" s="31">
        <v>0.16641154921924642</v>
      </c>
      <c r="F54" s="38">
        <f t="shared" si="2"/>
        <v>2461.7323828869635</v>
      </c>
      <c r="J54" s="44">
        <v>39</v>
      </c>
      <c r="K54" s="73">
        <v>-0.45511600000000002</v>
      </c>
      <c r="L54" s="17">
        <f t="shared" si="0"/>
        <v>0.20713057345600003</v>
      </c>
      <c r="M54" s="52">
        <f t="shared" si="3"/>
        <v>0</v>
      </c>
      <c r="N54" s="18">
        <f t="shared" si="1"/>
        <v>0</v>
      </c>
      <c r="Q54" s="56">
        <v>-3.0184925981336401E-3</v>
      </c>
      <c r="R54" s="60">
        <v>0</v>
      </c>
      <c r="S54" s="16">
        <v>9</v>
      </c>
      <c r="T54" s="17">
        <v>83</v>
      </c>
      <c r="U54" s="18">
        <v>0.14285714285714285</v>
      </c>
      <c r="W54" s="16">
        <v>0</v>
      </c>
      <c r="X54" s="17">
        <v>0</v>
      </c>
      <c r="Y54" s="17">
        <v>0</v>
      </c>
      <c r="Z54" s="17">
        <v>0</v>
      </c>
      <c r="AA54" s="17">
        <v>0</v>
      </c>
      <c r="AB54" s="17">
        <v>1</v>
      </c>
      <c r="AC54" s="17">
        <v>0</v>
      </c>
      <c r="AD54" s="17">
        <v>0</v>
      </c>
      <c r="AE54" s="17">
        <v>0</v>
      </c>
      <c r="AF54" s="17">
        <v>0</v>
      </c>
      <c r="AG54" s="18">
        <v>0</v>
      </c>
      <c r="AI54" s="16">
        <v>0</v>
      </c>
      <c r="AJ54" s="17">
        <v>0</v>
      </c>
      <c r="AK54" s="17">
        <v>0</v>
      </c>
      <c r="AL54" s="17">
        <v>0</v>
      </c>
      <c r="AM54" s="17">
        <v>0</v>
      </c>
      <c r="AN54" s="17">
        <v>1</v>
      </c>
      <c r="AO54" s="17">
        <v>0</v>
      </c>
      <c r="AP54" s="17">
        <v>0</v>
      </c>
      <c r="AQ54" s="17">
        <v>0</v>
      </c>
      <c r="AR54" s="17">
        <v>0</v>
      </c>
      <c r="AS54" s="17">
        <v>0</v>
      </c>
      <c r="AT54" s="17">
        <v>0</v>
      </c>
      <c r="AU54" s="17">
        <v>0</v>
      </c>
      <c r="AV54" s="17">
        <v>0</v>
      </c>
      <c r="AW54" s="17">
        <v>0</v>
      </c>
      <c r="AX54" s="17">
        <v>0</v>
      </c>
      <c r="AY54" s="17">
        <v>-0.45511600000000002</v>
      </c>
      <c r="AZ54" s="17">
        <v>0</v>
      </c>
      <c r="BA54" s="17">
        <v>0</v>
      </c>
      <c r="BB54" s="17">
        <v>0</v>
      </c>
      <c r="BC54" s="17">
        <v>0</v>
      </c>
      <c r="BD54" s="17">
        <v>0</v>
      </c>
      <c r="BE54" s="17">
        <v>0</v>
      </c>
      <c r="BF54" s="17">
        <v>0</v>
      </c>
      <c r="BG54" s="17">
        <v>0</v>
      </c>
      <c r="BH54" s="17">
        <v>0</v>
      </c>
      <c r="BI54" s="17">
        <v>0</v>
      </c>
      <c r="BJ54" s="17">
        <v>0.20713057345600003</v>
      </c>
      <c r="BK54" s="17">
        <v>0</v>
      </c>
      <c r="BL54" s="17">
        <v>0</v>
      </c>
      <c r="BM54" s="17">
        <v>0</v>
      </c>
      <c r="BN54" s="17">
        <v>0</v>
      </c>
      <c r="BO54" s="17">
        <v>0</v>
      </c>
      <c r="BP54" s="17">
        <v>0</v>
      </c>
      <c r="BQ54" s="17">
        <v>0</v>
      </c>
      <c r="BR54" s="17">
        <v>0</v>
      </c>
      <c r="BS54" s="17">
        <v>0</v>
      </c>
      <c r="BT54" s="17">
        <v>0</v>
      </c>
      <c r="BU54" s="17">
        <v>0</v>
      </c>
      <c r="BV54" s="17">
        <v>0</v>
      </c>
      <c r="BW54" s="17">
        <v>0</v>
      </c>
      <c r="BX54" s="17">
        <v>0</v>
      </c>
      <c r="BY54" s="17">
        <v>0</v>
      </c>
      <c r="BZ54" s="17">
        <v>0</v>
      </c>
      <c r="CA54" s="17">
        <v>0</v>
      </c>
      <c r="CB54" s="17">
        <v>0</v>
      </c>
      <c r="CC54" s="17">
        <v>0</v>
      </c>
      <c r="CD54" s="17">
        <v>0</v>
      </c>
      <c r="CE54" s="17">
        <v>0</v>
      </c>
      <c r="CF54" s="17">
        <v>0</v>
      </c>
      <c r="CG54" s="17">
        <v>0</v>
      </c>
      <c r="CH54" s="17">
        <v>0</v>
      </c>
      <c r="CI54" s="17">
        <v>0</v>
      </c>
      <c r="CJ54" s="17">
        <v>0</v>
      </c>
      <c r="CK54" s="18">
        <v>0</v>
      </c>
    </row>
    <row r="55" spans="1:89">
      <c r="A55" s="5" t="s">
        <v>23</v>
      </c>
      <c r="B55" s="44" t="s">
        <v>48</v>
      </c>
      <c r="C55" s="6" t="s">
        <v>55</v>
      </c>
      <c r="D55" s="5">
        <v>40</v>
      </c>
      <c r="E55" s="31">
        <v>0.17225121607744695</v>
      </c>
      <c r="F55" s="38">
        <f t="shared" si="2"/>
        <v>3337.6824116170433</v>
      </c>
      <c r="J55" s="44">
        <v>40</v>
      </c>
      <c r="K55" s="73">
        <v>-1.2837499999999999</v>
      </c>
      <c r="L55" s="17">
        <f t="shared" si="0"/>
        <v>1.6480140624999999</v>
      </c>
      <c r="M55" s="52">
        <f t="shared" si="3"/>
        <v>0</v>
      </c>
      <c r="N55" s="18">
        <f t="shared" si="1"/>
        <v>0</v>
      </c>
      <c r="Q55" s="56">
        <v>-3.9049041091961199E-3</v>
      </c>
      <c r="R55" s="60">
        <v>0</v>
      </c>
      <c r="S55" s="16">
        <v>10</v>
      </c>
      <c r="T55" s="17">
        <v>3</v>
      </c>
      <c r="U55" s="18">
        <v>0.1111111111111111</v>
      </c>
      <c r="W55" s="16">
        <v>0</v>
      </c>
      <c r="X55" s="17">
        <v>0</v>
      </c>
      <c r="Y55" s="17">
        <v>0</v>
      </c>
      <c r="Z55" s="17">
        <v>0</v>
      </c>
      <c r="AA55" s="17">
        <v>0</v>
      </c>
      <c r="AB55" s="17">
        <v>1</v>
      </c>
      <c r="AC55" s="17">
        <v>0</v>
      </c>
      <c r="AD55" s="17">
        <v>0</v>
      </c>
      <c r="AE55" s="17">
        <v>0</v>
      </c>
      <c r="AF55" s="17">
        <v>0</v>
      </c>
      <c r="AG55" s="18">
        <v>0</v>
      </c>
      <c r="AI55" s="16">
        <v>0</v>
      </c>
      <c r="AJ55" s="17">
        <v>0</v>
      </c>
      <c r="AK55" s="17">
        <v>0</v>
      </c>
      <c r="AL55" s="17">
        <v>0</v>
      </c>
      <c r="AM55" s="17">
        <v>0</v>
      </c>
      <c r="AN55" s="17">
        <v>1</v>
      </c>
      <c r="AO55" s="17">
        <v>0</v>
      </c>
      <c r="AP55" s="17">
        <v>0</v>
      </c>
      <c r="AQ55" s="17">
        <v>0</v>
      </c>
      <c r="AR55" s="17">
        <v>0</v>
      </c>
      <c r="AS55" s="17">
        <v>0</v>
      </c>
      <c r="AT55" s="17">
        <v>0</v>
      </c>
      <c r="AU55" s="17">
        <v>0</v>
      </c>
      <c r="AV55" s="17">
        <v>0</v>
      </c>
      <c r="AW55" s="17">
        <v>0</v>
      </c>
      <c r="AX55" s="17">
        <v>0</v>
      </c>
      <c r="AY55" s="17">
        <v>-1.2837499999999999</v>
      </c>
      <c r="AZ55" s="17">
        <v>0</v>
      </c>
      <c r="BA55" s="17">
        <v>0</v>
      </c>
      <c r="BB55" s="17">
        <v>0</v>
      </c>
      <c r="BC55" s="17">
        <v>0</v>
      </c>
      <c r="BD55" s="17">
        <v>0</v>
      </c>
      <c r="BE55" s="17">
        <v>0</v>
      </c>
      <c r="BF55" s="17">
        <v>0</v>
      </c>
      <c r="BG55" s="17">
        <v>0</v>
      </c>
      <c r="BH55" s="17">
        <v>0</v>
      </c>
      <c r="BI55" s="17">
        <v>0</v>
      </c>
      <c r="BJ55" s="17">
        <v>1.6480140624999999</v>
      </c>
      <c r="BK55" s="17">
        <v>0</v>
      </c>
      <c r="BL55" s="17">
        <v>0</v>
      </c>
      <c r="BM55" s="17">
        <v>0</v>
      </c>
      <c r="BN55" s="17">
        <v>0</v>
      </c>
      <c r="BO55" s="17">
        <v>0</v>
      </c>
      <c r="BP55" s="17">
        <v>0</v>
      </c>
      <c r="BQ55" s="17">
        <v>0</v>
      </c>
      <c r="BR55" s="17">
        <v>0</v>
      </c>
      <c r="BS55" s="17">
        <v>0</v>
      </c>
      <c r="BT55" s="17">
        <v>0</v>
      </c>
      <c r="BU55" s="17">
        <v>0</v>
      </c>
      <c r="BV55" s="17">
        <v>0</v>
      </c>
      <c r="BW55" s="17">
        <v>0</v>
      </c>
      <c r="BX55" s="17">
        <v>0</v>
      </c>
      <c r="BY55" s="17">
        <v>0</v>
      </c>
      <c r="BZ55" s="17">
        <v>0</v>
      </c>
      <c r="CA55" s="17">
        <v>0</v>
      </c>
      <c r="CB55" s="17">
        <v>0</v>
      </c>
      <c r="CC55" s="17">
        <v>0</v>
      </c>
      <c r="CD55" s="17">
        <v>0</v>
      </c>
      <c r="CE55" s="17">
        <v>0</v>
      </c>
      <c r="CF55" s="17">
        <v>0</v>
      </c>
      <c r="CG55" s="17">
        <v>0</v>
      </c>
      <c r="CH55" s="17">
        <v>0</v>
      </c>
      <c r="CI55" s="17">
        <v>0</v>
      </c>
      <c r="CJ55" s="17">
        <v>0</v>
      </c>
      <c r="CK55" s="18">
        <v>0</v>
      </c>
    </row>
    <row r="56" spans="1:89">
      <c r="A56" s="5" t="s">
        <v>23</v>
      </c>
      <c r="B56" s="44" t="s">
        <v>48</v>
      </c>
      <c r="C56" s="6" t="s">
        <v>58</v>
      </c>
      <c r="D56" s="5">
        <v>41</v>
      </c>
      <c r="E56" s="31">
        <v>0.18765548223727188</v>
      </c>
      <c r="F56" s="38">
        <f t="shared" si="2"/>
        <v>5648.322335590783</v>
      </c>
      <c r="J56" s="44">
        <v>41</v>
      </c>
      <c r="K56" s="73">
        <v>-3.3814600000000001</v>
      </c>
      <c r="L56" s="17">
        <f t="shared" si="0"/>
        <v>11.434271731600001</v>
      </c>
      <c r="M56" s="52">
        <f t="shared" si="3"/>
        <v>0</v>
      </c>
      <c r="N56" s="18">
        <f t="shared" si="1"/>
        <v>0</v>
      </c>
      <c r="Q56" s="56">
        <v>-2.7944845418022102E-3</v>
      </c>
      <c r="R56" s="60">
        <v>0</v>
      </c>
      <c r="S56" s="16">
        <v>10</v>
      </c>
      <c r="T56" s="17">
        <v>4</v>
      </c>
      <c r="U56" s="18">
        <v>0.1111111111111111</v>
      </c>
      <c r="W56" s="16">
        <v>0</v>
      </c>
      <c r="X56" s="17">
        <v>0</v>
      </c>
      <c r="Y56" s="17">
        <v>0</v>
      </c>
      <c r="Z56" s="17">
        <v>0</v>
      </c>
      <c r="AA56" s="17">
        <v>0</v>
      </c>
      <c r="AB56" s="17">
        <v>1</v>
      </c>
      <c r="AC56" s="17">
        <v>0</v>
      </c>
      <c r="AD56" s="17">
        <v>0</v>
      </c>
      <c r="AE56" s="17">
        <v>0</v>
      </c>
      <c r="AF56" s="17">
        <v>0</v>
      </c>
      <c r="AG56" s="18">
        <v>0</v>
      </c>
      <c r="AI56" s="16">
        <v>0</v>
      </c>
      <c r="AJ56" s="17">
        <v>0</v>
      </c>
      <c r="AK56" s="17">
        <v>0</v>
      </c>
      <c r="AL56" s="17">
        <v>0</v>
      </c>
      <c r="AM56" s="17">
        <v>0</v>
      </c>
      <c r="AN56" s="17">
        <v>1</v>
      </c>
      <c r="AO56" s="17">
        <v>0</v>
      </c>
      <c r="AP56" s="17">
        <v>0</v>
      </c>
      <c r="AQ56" s="17">
        <v>0</v>
      </c>
      <c r="AR56" s="17">
        <v>0</v>
      </c>
      <c r="AS56" s="17">
        <v>0</v>
      </c>
      <c r="AT56" s="17">
        <v>0</v>
      </c>
      <c r="AU56" s="17">
        <v>0</v>
      </c>
      <c r="AV56" s="17">
        <v>0</v>
      </c>
      <c r="AW56" s="17">
        <v>0</v>
      </c>
      <c r="AX56" s="17">
        <v>0</v>
      </c>
      <c r="AY56" s="17">
        <v>-3.3814600000000001</v>
      </c>
      <c r="AZ56" s="17">
        <v>0</v>
      </c>
      <c r="BA56" s="17">
        <v>0</v>
      </c>
      <c r="BB56" s="17">
        <v>0</v>
      </c>
      <c r="BC56" s="17">
        <v>0</v>
      </c>
      <c r="BD56" s="17">
        <v>0</v>
      </c>
      <c r="BE56" s="17">
        <v>0</v>
      </c>
      <c r="BF56" s="17">
        <v>0</v>
      </c>
      <c r="BG56" s="17">
        <v>0</v>
      </c>
      <c r="BH56" s="17">
        <v>0</v>
      </c>
      <c r="BI56" s="17">
        <v>0</v>
      </c>
      <c r="BJ56" s="17">
        <v>11.434271731600001</v>
      </c>
      <c r="BK56" s="17">
        <v>0</v>
      </c>
      <c r="BL56" s="17">
        <v>0</v>
      </c>
      <c r="BM56" s="17">
        <v>0</v>
      </c>
      <c r="BN56" s="17">
        <v>0</v>
      </c>
      <c r="BO56" s="17">
        <v>0</v>
      </c>
      <c r="BP56" s="17">
        <v>0</v>
      </c>
      <c r="BQ56" s="17">
        <v>0</v>
      </c>
      <c r="BR56" s="17">
        <v>0</v>
      </c>
      <c r="BS56" s="17">
        <v>0</v>
      </c>
      <c r="BT56" s="17">
        <v>0</v>
      </c>
      <c r="BU56" s="17">
        <v>0</v>
      </c>
      <c r="BV56" s="17">
        <v>0</v>
      </c>
      <c r="BW56" s="17">
        <v>0</v>
      </c>
      <c r="BX56" s="17">
        <v>0</v>
      </c>
      <c r="BY56" s="17">
        <v>0</v>
      </c>
      <c r="BZ56" s="17">
        <v>0</v>
      </c>
      <c r="CA56" s="17">
        <v>0</v>
      </c>
      <c r="CB56" s="17">
        <v>0</v>
      </c>
      <c r="CC56" s="17">
        <v>0</v>
      </c>
      <c r="CD56" s="17">
        <v>0</v>
      </c>
      <c r="CE56" s="17">
        <v>0</v>
      </c>
      <c r="CF56" s="17">
        <v>0</v>
      </c>
      <c r="CG56" s="17">
        <v>0</v>
      </c>
      <c r="CH56" s="17">
        <v>0</v>
      </c>
      <c r="CI56" s="17">
        <v>0</v>
      </c>
      <c r="CJ56" s="17">
        <v>0</v>
      </c>
      <c r="CK56" s="18">
        <v>0</v>
      </c>
    </row>
    <row r="57" spans="1:89">
      <c r="A57" s="5" t="s">
        <v>23</v>
      </c>
      <c r="B57" s="44" t="s">
        <v>48</v>
      </c>
      <c r="C57" s="6" t="s">
        <v>59</v>
      </c>
      <c r="D57" s="5">
        <v>42</v>
      </c>
      <c r="E57" s="31">
        <v>0.16690816493263347</v>
      </c>
      <c r="F57" s="38">
        <f t="shared" si="2"/>
        <v>2536.2247398950212</v>
      </c>
      <c r="J57" s="44">
        <v>42</v>
      </c>
      <c r="K57" s="73">
        <v>-0.41402299999999997</v>
      </c>
      <c r="L57" s="17">
        <f t="shared" si="0"/>
        <v>0.17141504452899997</v>
      </c>
      <c r="M57" s="52">
        <f t="shared" si="3"/>
        <v>0</v>
      </c>
      <c r="N57" s="18">
        <f t="shared" si="1"/>
        <v>0</v>
      </c>
      <c r="Q57" s="56">
        <v>-6.0403535174558898E-3</v>
      </c>
      <c r="R57" s="60">
        <v>0</v>
      </c>
      <c r="S57" s="16">
        <v>10</v>
      </c>
      <c r="T57" s="17">
        <v>5</v>
      </c>
      <c r="U57" s="18">
        <v>0.1111111111111111</v>
      </c>
      <c r="W57" s="16">
        <v>0</v>
      </c>
      <c r="X57" s="17">
        <v>0</v>
      </c>
      <c r="Y57" s="17">
        <v>0</v>
      </c>
      <c r="Z57" s="17">
        <v>0</v>
      </c>
      <c r="AA57" s="17">
        <v>0</v>
      </c>
      <c r="AB57" s="17">
        <v>1</v>
      </c>
      <c r="AC57" s="17">
        <v>0</v>
      </c>
      <c r="AD57" s="17">
        <v>0</v>
      </c>
      <c r="AE57" s="17">
        <v>0</v>
      </c>
      <c r="AF57" s="17">
        <v>0</v>
      </c>
      <c r="AG57" s="18">
        <v>0</v>
      </c>
      <c r="AI57" s="16">
        <v>0</v>
      </c>
      <c r="AJ57" s="17">
        <v>0</v>
      </c>
      <c r="AK57" s="17">
        <v>0</v>
      </c>
      <c r="AL57" s="17">
        <v>0</v>
      </c>
      <c r="AM57" s="17">
        <v>0</v>
      </c>
      <c r="AN57" s="17">
        <v>1</v>
      </c>
      <c r="AO57" s="17">
        <v>0</v>
      </c>
      <c r="AP57" s="17">
        <v>0</v>
      </c>
      <c r="AQ57" s="17">
        <v>0</v>
      </c>
      <c r="AR57" s="17">
        <v>0</v>
      </c>
      <c r="AS57" s="17">
        <v>0</v>
      </c>
      <c r="AT57" s="17">
        <v>0</v>
      </c>
      <c r="AU57" s="17">
        <v>0</v>
      </c>
      <c r="AV57" s="17">
        <v>0</v>
      </c>
      <c r="AW57" s="17">
        <v>0</v>
      </c>
      <c r="AX57" s="17">
        <v>0</v>
      </c>
      <c r="AY57" s="17">
        <v>-0.41402299999999997</v>
      </c>
      <c r="AZ57" s="17">
        <v>0</v>
      </c>
      <c r="BA57" s="17">
        <v>0</v>
      </c>
      <c r="BB57" s="17">
        <v>0</v>
      </c>
      <c r="BC57" s="17">
        <v>0</v>
      </c>
      <c r="BD57" s="17">
        <v>0</v>
      </c>
      <c r="BE57" s="17">
        <v>0</v>
      </c>
      <c r="BF57" s="17">
        <v>0</v>
      </c>
      <c r="BG57" s="17">
        <v>0</v>
      </c>
      <c r="BH57" s="17">
        <v>0</v>
      </c>
      <c r="BI57" s="17">
        <v>0</v>
      </c>
      <c r="BJ57" s="17">
        <v>0.17141504452899997</v>
      </c>
      <c r="BK57" s="17">
        <v>0</v>
      </c>
      <c r="BL57" s="17">
        <v>0</v>
      </c>
      <c r="BM57" s="17">
        <v>0</v>
      </c>
      <c r="BN57" s="17">
        <v>0</v>
      </c>
      <c r="BO57" s="17">
        <v>0</v>
      </c>
      <c r="BP57" s="17">
        <v>0</v>
      </c>
      <c r="BQ57" s="17">
        <v>0</v>
      </c>
      <c r="BR57" s="17">
        <v>0</v>
      </c>
      <c r="BS57" s="17">
        <v>0</v>
      </c>
      <c r="BT57" s="17">
        <v>0</v>
      </c>
      <c r="BU57" s="17">
        <v>0</v>
      </c>
      <c r="BV57" s="17">
        <v>0</v>
      </c>
      <c r="BW57" s="17">
        <v>0</v>
      </c>
      <c r="BX57" s="17">
        <v>0</v>
      </c>
      <c r="BY57" s="17">
        <v>0</v>
      </c>
      <c r="BZ57" s="17">
        <v>0</v>
      </c>
      <c r="CA57" s="17">
        <v>0</v>
      </c>
      <c r="CB57" s="17">
        <v>0</v>
      </c>
      <c r="CC57" s="17">
        <v>0</v>
      </c>
      <c r="CD57" s="17">
        <v>0</v>
      </c>
      <c r="CE57" s="17">
        <v>0</v>
      </c>
      <c r="CF57" s="17">
        <v>0</v>
      </c>
      <c r="CG57" s="17">
        <v>0</v>
      </c>
      <c r="CH57" s="17">
        <v>0</v>
      </c>
      <c r="CI57" s="17">
        <v>0</v>
      </c>
      <c r="CJ57" s="17">
        <v>0</v>
      </c>
      <c r="CK57" s="18">
        <v>0</v>
      </c>
    </row>
    <row r="58" spans="1:89">
      <c r="A58" s="5" t="s">
        <v>23</v>
      </c>
      <c r="B58" s="44" t="s">
        <v>48</v>
      </c>
      <c r="C58" s="6" t="s">
        <v>60</v>
      </c>
      <c r="D58" s="5">
        <v>43</v>
      </c>
      <c r="E58" s="31">
        <v>0.15428404066346363</v>
      </c>
      <c r="F58" s="38">
        <f t="shared" si="2"/>
        <v>642.60609951954507</v>
      </c>
      <c r="J58" s="44">
        <v>43</v>
      </c>
      <c r="K58" s="73">
        <v>1.6712199999999999</v>
      </c>
      <c r="L58" s="17">
        <f t="shared" si="0"/>
        <v>2.7929762883999998</v>
      </c>
      <c r="M58" s="52">
        <f t="shared" si="3"/>
        <v>0</v>
      </c>
      <c r="N58" s="18">
        <f t="shared" si="1"/>
        <v>0</v>
      </c>
      <c r="Q58" s="56">
        <v>-5.0201539598388797E-3</v>
      </c>
      <c r="R58" s="60">
        <v>0</v>
      </c>
      <c r="S58" s="16">
        <v>10</v>
      </c>
      <c r="T58" s="17">
        <v>7</v>
      </c>
      <c r="U58" s="18">
        <v>0.1111111111111111</v>
      </c>
      <c r="W58" s="16">
        <v>0</v>
      </c>
      <c r="X58" s="17">
        <v>0</v>
      </c>
      <c r="Y58" s="17">
        <v>0</v>
      </c>
      <c r="Z58" s="17">
        <v>0</v>
      </c>
      <c r="AA58" s="17">
        <v>0</v>
      </c>
      <c r="AB58" s="17">
        <v>1</v>
      </c>
      <c r="AC58" s="17">
        <v>0</v>
      </c>
      <c r="AD58" s="17">
        <v>0</v>
      </c>
      <c r="AE58" s="17">
        <v>0</v>
      </c>
      <c r="AF58" s="17">
        <v>0</v>
      </c>
      <c r="AG58" s="18">
        <v>0</v>
      </c>
      <c r="AI58" s="16">
        <v>0</v>
      </c>
      <c r="AJ58" s="17">
        <v>0</v>
      </c>
      <c r="AK58" s="17">
        <v>0</v>
      </c>
      <c r="AL58" s="17">
        <v>0</v>
      </c>
      <c r="AM58" s="17">
        <v>0</v>
      </c>
      <c r="AN58" s="17">
        <v>1</v>
      </c>
      <c r="AO58" s="17">
        <v>0</v>
      </c>
      <c r="AP58" s="17">
        <v>0</v>
      </c>
      <c r="AQ58" s="17">
        <v>0</v>
      </c>
      <c r="AR58" s="17">
        <v>0</v>
      </c>
      <c r="AS58" s="17">
        <v>0</v>
      </c>
      <c r="AT58" s="17">
        <v>0</v>
      </c>
      <c r="AU58" s="17">
        <v>0</v>
      </c>
      <c r="AV58" s="17">
        <v>0</v>
      </c>
      <c r="AW58" s="17">
        <v>0</v>
      </c>
      <c r="AX58" s="17">
        <v>0</v>
      </c>
      <c r="AY58" s="17">
        <v>1.6712199999999999</v>
      </c>
      <c r="AZ58" s="17">
        <v>0</v>
      </c>
      <c r="BA58" s="17">
        <v>0</v>
      </c>
      <c r="BB58" s="17">
        <v>0</v>
      </c>
      <c r="BC58" s="17">
        <v>0</v>
      </c>
      <c r="BD58" s="17">
        <v>0</v>
      </c>
      <c r="BE58" s="17">
        <v>0</v>
      </c>
      <c r="BF58" s="17">
        <v>0</v>
      </c>
      <c r="BG58" s="17">
        <v>0</v>
      </c>
      <c r="BH58" s="17">
        <v>0</v>
      </c>
      <c r="BI58" s="17">
        <v>0</v>
      </c>
      <c r="BJ58" s="17">
        <v>2.7929762883999998</v>
      </c>
      <c r="BK58" s="17">
        <v>0</v>
      </c>
      <c r="BL58" s="17">
        <v>0</v>
      </c>
      <c r="BM58" s="17">
        <v>0</v>
      </c>
      <c r="BN58" s="17">
        <v>0</v>
      </c>
      <c r="BO58" s="17">
        <v>0</v>
      </c>
      <c r="BP58" s="17">
        <v>0</v>
      </c>
      <c r="BQ58" s="17">
        <v>0</v>
      </c>
      <c r="BR58" s="17">
        <v>0</v>
      </c>
      <c r="BS58" s="17">
        <v>0</v>
      </c>
      <c r="BT58" s="17">
        <v>0</v>
      </c>
      <c r="BU58" s="17">
        <v>0</v>
      </c>
      <c r="BV58" s="17">
        <v>0</v>
      </c>
      <c r="BW58" s="17">
        <v>0</v>
      </c>
      <c r="BX58" s="17">
        <v>0</v>
      </c>
      <c r="BY58" s="17">
        <v>0</v>
      </c>
      <c r="BZ58" s="17">
        <v>0</v>
      </c>
      <c r="CA58" s="17">
        <v>0</v>
      </c>
      <c r="CB58" s="17">
        <v>0</v>
      </c>
      <c r="CC58" s="17">
        <v>0</v>
      </c>
      <c r="CD58" s="17">
        <v>0</v>
      </c>
      <c r="CE58" s="17">
        <v>0</v>
      </c>
      <c r="CF58" s="17">
        <v>0</v>
      </c>
      <c r="CG58" s="17">
        <v>0</v>
      </c>
      <c r="CH58" s="17">
        <v>0</v>
      </c>
      <c r="CI58" s="17">
        <v>0</v>
      </c>
      <c r="CJ58" s="17">
        <v>0</v>
      </c>
      <c r="CK58" s="18">
        <v>0</v>
      </c>
    </row>
    <row r="59" spans="1:89">
      <c r="A59" s="5" t="s">
        <v>23</v>
      </c>
      <c r="B59" s="44" t="s">
        <v>48</v>
      </c>
      <c r="C59" s="6" t="s">
        <v>62</v>
      </c>
      <c r="D59" s="5">
        <v>44</v>
      </c>
      <c r="E59" s="31">
        <v>0.16031284154319536</v>
      </c>
      <c r="F59" s="38">
        <f t="shared" si="2"/>
        <v>1546.926231479305</v>
      </c>
      <c r="J59" s="44">
        <v>44</v>
      </c>
      <c r="K59" s="73">
        <v>-7.9741800000000002E-2</v>
      </c>
      <c r="L59" s="17">
        <f t="shared" si="0"/>
        <v>6.3587546672400005E-3</v>
      </c>
      <c r="M59" s="52">
        <f t="shared" si="3"/>
        <v>0</v>
      </c>
      <c r="N59" s="18">
        <f t="shared" si="1"/>
        <v>0</v>
      </c>
      <c r="Q59" s="56">
        <v>-4.4383729628253302E-3</v>
      </c>
      <c r="R59" s="60">
        <v>0</v>
      </c>
      <c r="S59" s="16">
        <v>10</v>
      </c>
      <c r="T59" s="17">
        <v>9</v>
      </c>
      <c r="U59" s="18">
        <v>0.1111111111111111</v>
      </c>
      <c r="W59" s="16">
        <v>0</v>
      </c>
      <c r="X59" s="17">
        <v>0</v>
      </c>
      <c r="Y59" s="17">
        <v>0</v>
      </c>
      <c r="Z59" s="17">
        <v>0</v>
      </c>
      <c r="AA59" s="17">
        <v>0</v>
      </c>
      <c r="AB59" s="17">
        <v>1</v>
      </c>
      <c r="AC59" s="17">
        <v>0</v>
      </c>
      <c r="AD59" s="17">
        <v>0</v>
      </c>
      <c r="AE59" s="17">
        <v>0</v>
      </c>
      <c r="AF59" s="17">
        <v>0</v>
      </c>
      <c r="AG59" s="18">
        <v>0</v>
      </c>
      <c r="AI59" s="16">
        <v>0</v>
      </c>
      <c r="AJ59" s="17">
        <v>0</v>
      </c>
      <c r="AK59" s="17">
        <v>0</v>
      </c>
      <c r="AL59" s="17">
        <v>0</v>
      </c>
      <c r="AM59" s="17">
        <v>0</v>
      </c>
      <c r="AN59" s="17">
        <v>1</v>
      </c>
      <c r="AO59" s="17">
        <v>0</v>
      </c>
      <c r="AP59" s="17">
        <v>0</v>
      </c>
      <c r="AQ59" s="17">
        <v>0</v>
      </c>
      <c r="AR59" s="17">
        <v>0</v>
      </c>
      <c r="AS59" s="17">
        <v>0</v>
      </c>
      <c r="AT59" s="17">
        <v>0</v>
      </c>
      <c r="AU59" s="17">
        <v>0</v>
      </c>
      <c r="AV59" s="17">
        <v>0</v>
      </c>
      <c r="AW59" s="17">
        <v>0</v>
      </c>
      <c r="AX59" s="17">
        <v>0</v>
      </c>
      <c r="AY59" s="17">
        <v>-7.9741800000000002E-2</v>
      </c>
      <c r="AZ59" s="17">
        <v>0</v>
      </c>
      <c r="BA59" s="17">
        <v>0</v>
      </c>
      <c r="BB59" s="17">
        <v>0</v>
      </c>
      <c r="BC59" s="17">
        <v>0</v>
      </c>
      <c r="BD59" s="17">
        <v>0</v>
      </c>
      <c r="BE59" s="17">
        <v>0</v>
      </c>
      <c r="BF59" s="17">
        <v>0</v>
      </c>
      <c r="BG59" s="17">
        <v>0</v>
      </c>
      <c r="BH59" s="17">
        <v>0</v>
      </c>
      <c r="BI59" s="17">
        <v>0</v>
      </c>
      <c r="BJ59" s="17">
        <v>6.3587546672400005E-3</v>
      </c>
      <c r="BK59" s="17">
        <v>0</v>
      </c>
      <c r="BL59" s="17">
        <v>0</v>
      </c>
      <c r="BM59" s="17">
        <v>0</v>
      </c>
      <c r="BN59" s="17">
        <v>0</v>
      </c>
      <c r="BO59" s="17">
        <v>0</v>
      </c>
      <c r="BP59" s="17">
        <v>0</v>
      </c>
      <c r="BQ59" s="17">
        <v>0</v>
      </c>
      <c r="BR59" s="17">
        <v>0</v>
      </c>
      <c r="BS59" s="17">
        <v>0</v>
      </c>
      <c r="BT59" s="17">
        <v>0</v>
      </c>
      <c r="BU59" s="17">
        <v>0</v>
      </c>
      <c r="BV59" s="17">
        <v>0</v>
      </c>
      <c r="BW59" s="17">
        <v>0</v>
      </c>
      <c r="BX59" s="17">
        <v>0</v>
      </c>
      <c r="BY59" s="17">
        <v>0</v>
      </c>
      <c r="BZ59" s="17">
        <v>0</v>
      </c>
      <c r="CA59" s="17">
        <v>0</v>
      </c>
      <c r="CB59" s="17">
        <v>0</v>
      </c>
      <c r="CC59" s="17">
        <v>0</v>
      </c>
      <c r="CD59" s="17">
        <v>0</v>
      </c>
      <c r="CE59" s="17">
        <v>0</v>
      </c>
      <c r="CF59" s="17">
        <v>0</v>
      </c>
      <c r="CG59" s="17">
        <v>0</v>
      </c>
      <c r="CH59" s="17">
        <v>0</v>
      </c>
      <c r="CI59" s="17">
        <v>0</v>
      </c>
      <c r="CJ59" s="17">
        <v>0</v>
      </c>
      <c r="CK59" s="18">
        <v>0</v>
      </c>
    </row>
    <row r="60" spans="1:89">
      <c r="A60" s="5" t="s">
        <v>23</v>
      </c>
      <c r="B60" s="44" t="s">
        <v>48</v>
      </c>
      <c r="C60" s="6" t="s">
        <v>63</v>
      </c>
      <c r="D60" s="5">
        <v>45</v>
      </c>
      <c r="E60" s="31">
        <v>0.17339363420514189</v>
      </c>
      <c r="F60" s="38">
        <f t="shared" si="2"/>
        <v>3509.0451307712851</v>
      </c>
      <c r="J60" s="44">
        <v>45</v>
      </c>
      <c r="K60" s="73">
        <v>-1.4342699999999999</v>
      </c>
      <c r="L60" s="17">
        <f t="shared" si="0"/>
        <v>2.0571304328999998</v>
      </c>
      <c r="M60" s="52">
        <f t="shared" si="3"/>
        <v>0</v>
      </c>
      <c r="N60" s="18">
        <f t="shared" si="1"/>
        <v>0</v>
      </c>
      <c r="Q60" s="57">
        <v>3.7776759031728799E-4</v>
      </c>
      <c r="R60" s="60">
        <v>0</v>
      </c>
      <c r="S60" s="16">
        <v>10</v>
      </c>
      <c r="T60" s="17">
        <v>11</v>
      </c>
      <c r="U60" s="18">
        <v>0.1111111111111111</v>
      </c>
      <c r="W60" s="16">
        <v>0</v>
      </c>
      <c r="X60" s="17">
        <v>0</v>
      </c>
      <c r="Y60" s="17">
        <v>0</v>
      </c>
      <c r="Z60" s="17">
        <v>0</v>
      </c>
      <c r="AA60" s="17">
        <v>0</v>
      </c>
      <c r="AB60" s="17">
        <v>1</v>
      </c>
      <c r="AC60" s="17">
        <v>0</v>
      </c>
      <c r="AD60" s="17">
        <v>0</v>
      </c>
      <c r="AE60" s="17">
        <v>0</v>
      </c>
      <c r="AF60" s="17">
        <v>0</v>
      </c>
      <c r="AG60" s="18">
        <v>0</v>
      </c>
      <c r="AI60" s="16">
        <v>0</v>
      </c>
      <c r="AJ60" s="17">
        <v>0</v>
      </c>
      <c r="AK60" s="17">
        <v>0</v>
      </c>
      <c r="AL60" s="17">
        <v>0</v>
      </c>
      <c r="AM60" s="17">
        <v>0</v>
      </c>
      <c r="AN60" s="17">
        <v>1</v>
      </c>
      <c r="AO60" s="17">
        <v>0</v>
      </c>
      <c r="AP60" s="17">
        <v>0</v>
      </c>
      <c r="AQ60" s="17">
        <v>0</v>
      </c>
      <c r="AR60" s="17">
        <v>0</v>
      </c>
      <c r="AS60" s="17">
        <v>0</v>
      </c>
      <c r="AT60" s="17">
        <v>0</v>
      </c>
      <c r="AU60" s="17">
        <v>0</v>
      </c>
      <c r="AV60" s="17">
        <v>0</v>
      </c>
      <c r="AW60" s="17">
        <v>0</v>
      </c>
      <c r="AX60" s="17">
        <v>0</v>
      </c>
      <c r="AY60" s="17">
        <v>-1.4342699999999999</v>
      </c>
      <c r="AZ60" s="17">
        <v>0</v>
      </c>
      <c r="BA60" s="17">
        <v>0</v>
      </c>
      <c r="BB60" s="17">
        <v>0</v>
      </c>
      <c r="BC60" s="17">
        <v>0</v>
      </c>
      <c r="BD60" s="17">
        <v>0</v>
      </c>
      <c r="BE60" s="17">
        <v>0</v>
      </c>
      <c r="BF60" s="17">
        <v>0</v>
      </c>
      <c r="BG60" s="17">
        <v>0</v>
      </c>
      <c r="BH60" s="17">
        <v>0</v>
      </c>
      <c r="BI60" s="17">
        <v>0</v>
      </c>
      <c r="BJ60" s="17">
        <v>2.0571304328999998</v>
      </c>
      <c r="BK60" s="17">
        <v>0</v>
      </c>
      <c r="BL60" s="17">
        <v>0</v>
      </c>
      <c r="BM60" s="17">
        <v>0</v>
      </c>
      <c r="BN60" s="17">
        <v>0</v>
      </c>
      <c r="BO60" s="17">
        <v>0</v>
      </c>
      <c r="BP60" s="17">
        <v>0</v>
      </c>
      <c r="BQ60" s="17">
        <v>0</v>
      </c>
      <c r="BR60" s="17">
        <v>0</v>
      </c>
      <c r="BS60" s="17">
        <v>0</v>
      </c>
      <c r="BT60" s="17">
        <v>0</v>
      </c>
      <c r="BU60" s="17">
        <v>0</v>
      </c>
      <c r="BV60" s="17">
        <v>0</v>
      </c>
      <c r="BW60" s="17">
        <v>0</v>
      </c>
      <c r="BX60" s="17">
        <v>0</v>
      </c>
      <c r="BY60" s="17">
        <v>0</v>
      </c>
      <c r="BZ60" s="17">
        <v>0</v>
      </c>
      <c r="CA60" s="17">
        <v>0</v>
      </c>
      <c r="CB60" s="17">
        <v>0</v>
      </c>
      <c r="CC60" s="17">
        <v>0</v>
      </c>
      <c r="CD60" s="17">
        <v>0</v>
      </c>
      <c r="CE60" s="17">
        <v>0</v>
      </c>
      <c r="CF60" s="17">
        <v>0</v>
      </c>
      <c r="CG60" s="17">
        <v>0</v>
      </c>
      <c r="CH60" s="17">
        <v>0</v>
      </c>
      <c r="CI60" s="17">
        <v>0</v>
      </c>
      <c r="CJ60" s="17">
        <v>0</v>
      </c>
      <c r="CK60" s="18">
        <v>0</v>
      </c>
    </row>
    <row r="61" spans="1:89">
      <c r="A61" s="5" t="s">
        <v>23</v>
      </c>
      <c r="B61" s="44" t="s">
        <v>48</v>
      </c>
      <c r="C61" s="6" t="s">
        <v>64</v>
      </c>
      <c r="D61" s="5">
        <v>46</v>
      </c>
      <c r="E61" s="31">
        <v>0.15677326570384348</v>
      </c>
      <c r="F61" s="38">
        <f t="shared" si="2"/>
        <v>1015.9898555765226</v>
      </c>
      <c r="J61" s="44">
        <v>46</v>
      </c>
      <c r="K61" s="73">
        <v>1.2428999999999999</v>
      </c>
      <c r="L61" s="17">
        <f t="shared" si="0"/>
        <v>1.5448004099999997</v>
      </c>
      <c r="M61" s="52">
        <f t="shared" si="3"/>
        <v>0</v>
      </c>
      <c r="N61" s="18">
        <f t="shared" si="1"/>
        <v>0</v>
      </c>
      <c r="Q61" s="57">
        <v>4.1003338833896798E-6</v>
      </c>
      <c r="R61" s="60">
        <v>0</v>
      </c>
      <c r="S61" s="16">
        <v>10</v>
      </c>
      <c r="T61" s="17">
        <v>12</v>
      </c>
      <c r="U61" s="18">
        <v>0.1111111111111111</v>
      </c>
      <c r="W61" s="16">
        <v>0</v>
      </c>
      <c r="X61" s="17">
        <v>0</v>
      </c>
      <c r="Y61" s="17">
        <v>0</v>
      </c>
      <c r="Z61" s="17">
        <v>0</v>
      </c>
      <c r="AA61" s="17">
        <v>0</v>
      </c>
      <c r="AB61" s="17">
        <v>1</v>
      </c>
      <c r="AC61" s="17">
        <v>0</v>
      </c>
      <c r="AD61" s="17">
        <v>0</v>
      </c>
      <c r="AE61" s="17">
        <v>0</v>
      </c>
      <c r="AF61" s="17">
        <v>0</v>
      </c>
      <c r="AG61" s="18">
        <v>0</v>
      </c>
      <c r="AI61" s="16">
        <v>0</v>
      </c>
      <c r="AJ61" s="17">
        <v>0</v>
      </c>
      <c r="AK61" s="17">
        <v>0</v>
      </c>
      <c r="AL61" s="17">
        <v>0</v>
      </c>
      <c r="AM61" s="17">
        <v>0</v>
      </c>
      <c r="AN61" s="17">
        <v>1</v>
      </c>
      <c r="AO61" s="17">
        <v>0</v>
      </c>
      <c r="AP61" s="17">
        <v>0</v>
      </c>
      <c r="AQ61" s="17">
        <v>0</v>
      </c>
      <c r="AR61" s="17">
        <v>0</v>
      </c>
      <c r="AS61" s="17">
        <v>0</v>
      </c>
      <c r="AT61" s="17">
        <v>0</v>
      </c>
      <c r="AU61" s="17">
        <v>0</v>
      </c>
      <c r="AV61" s="17">
        <v>0</v>
      </c>
      <c r="AW61" s="17">
        <v>0</v>
      </c>
      <c r="AX61" s="17">
        <v>0</v>
      </c>
      <c r="AY61" s="17">
        <v>1.2428999999999999</v>
      </c>
      <c r="AZ61" s="17">
        <v>0</v>
      </c>
      <c r="BA61" s="17">
        <v>0</v>
      </c>
      <c r="BB61" s="17">
        <v>0</v>
      </c>
      <c r="BC61" s="17">
        <v>0</v>
      </c>
      <c r="BD61" s="17">
        <v>0</v>
      </c>
      <c r="BE61" s="17">
        <v>0</v>
      </c>
      <c r="BF61" s="17">
        <v>0</v>
      </c>
      <c r="BG61" s="17">
        <v>0</v>
      </c>
      <c r="BH61" s="17">
        <v>0</v>
      </c>
      <c r="BI61" s="17">
        <v>0</v>
      </c>
      <c r="BJ61" s="17">
        <v>1.5448004099999997</v>
      </c>
      <c r="BK61" s="17">
        <v>0</v>
      </c>
      <c r="BL61" s="17">
        <v>0</v>
      </c>
      <c r="BM61" s="17">
        <v>0</v>
      </c>
      <c r="BN61" s="17">
        <v>0</v>
      </c>
      <c r="BO61" s="17">
        <v>0</v>
      </c>
      <c r="BP61" s="17">
        <v>0</v>
      </c>
      <c r="BQ61" s="17">
        <v>0</v>
      </c>
      <c r="BR61" s="17">
        <v>0</v>
      </c>
      <c r="BS61" s="17">
        <v>0</v>
      </c>
      <c r="BT61" s="17">
        <v>0</v>
      </c>
      <c r="BU61" s="17">
        <v>0</v>
      </c>
      <c r="BV61" s="17">
        <v>0</v>
      </c>
      <c r="BW61" s="17">
        <v>0</v>
      </c>
      <c r="BX61" s="17">
        <v>0</v>
      </c>
      <c r="BY61" s="17">
        <v>0</v>
      </c>
      <c r="BZ61" s="17">
        <v>0</v>
      </c>
      <c r="CA61" s="17">
        <v>0</v>
      </c>
      <c r="CB61" s="17">
        <v>0</v>
      </c>
      <c r="CC61" s="17">
        <v>0</v>
      </c>
      <c r="CD61" s="17">
        <v>0</v>
      </c>
      <c r="CE61" s="17">
        <v>0</v>
      </c>
      <c r="CF61" s="17">
        <v>0</v>
      </c>
      <c r="CG61" s="17">
        <v>0</v>
      </c>
      <c r="CH61" s="17">
        <v>0</v>
      </c>
      <c r="CI61" s="17">
        <v>0</v>
      </c>
      <c r="CJ61" s="17">
        <v>0</v>
      </c>
      <c r="CK61" s="18">
        <v>0</v>
      </c>
    </row>
    <row r="62" spans="1:89">
      <c r="A62" s="5" t="s">
        <v>23</v>
      </c>
      <c r="B62" s="44" t="s">
        <v>48</v>
      </c>
      <c r="C62" s="6" t="s">
        <v>65</v>
      </c>
      <c r="D62" s="5">
        <v>47</v>
      </c>
      <c r="E62" s="31">
        <v>0.16127850076015696</v>
      </c>
      <c r="F62" s="38">
        <f t="shared" si="2"/>
        <v>1691.7751140235443</v>
      </c>
      <c r="J62" s="44">
        <v>47</v>
      </c>
      <c r="K62" s="73">
        <v>0.47255000000000003</v>
      </c>
      <c r="L62" s="17">
        <f t="shared" si="0"/>
        <v>0.22330350250000003</v>
      </c>
      <c r="M62" s="52">
        <f t="shared" si="3"/>
        <v>0</v>
      </c>
      <c r="N62" s="18">
        <f t="shared" si="1"/>
        <v>0</v>
      </c>
      <c r="Q62" s="56">
        <v>-1.21492882254908E-4</v>
      </c>
      <c r="R62" s="60">
        <v>0</v>
      </c>
      <c r="S62" s="16">
        <v>10</v>
      </c>
      <c r="T62" s="17">
        <v>13</v>
      </c>
      <c r="U62" s="18">
        <v>0.1111111111111111</v>
      </c>
      <c r="W62" s="16">
        <v>0</v>
      </c>
      <c r="X62" s="17">
        <v>0</v>
      </c>
      <c r="Y62" s="17">
        <v>0</v>
      </c>
      <c r="Z62" s="17">
        <v>0</v>
      </c>
      <c r="AA62" s="17">
        <v>0</v>
      </c>
      <c r="AB62" s="17">
        <v>1</v>
      </c>
      <c r="AC62" s="17">
        <v>0</v>
      </c>
      <c r="AD62" s="17">
        <v>0</v>
      </c>
      <c r="AE62" s="17">
        <v>0</v>
      </c>
      <c r="AF62" s="17">
        <v>0</v>
      </c>
      <c r="AG62" s="18">
        <v>0</v>
      </c>
      <c r="AI62" s="16">
        <v>0</v>
      </c>
      <c r="AJ62" s="17">
        <v>0</v>
      </c>
      <c r="AK62" s="17">
        <v>0</v>
      </c>
      <c r="AL62" s="17">
        <v>0</v>
      </c>
      <c r="AM62" s="17">
        <v>0</v>
      </c>
      <c r="AN62" s="17">
        <v>1</v>
      </c>
      <c r="AO62" s="17">
        <v>0</v>
      </c>
      <c r="AP62" s="17">
        <v>0</v>
      </c>
      <c r="AQ62" s="17">
        <v>0</v>
      </c>
      <c r="AR62" s="17">
        <v>0</v>
      </c>
      <c r="AS62" s="17">
        <v>0</v>
      </c>
      <c r="AT62" s="17">
        <v>0</v>
      </c>
      <c r="AU62" s="17">
        <v>0</v>
      </c>
      <c r="AV62" s="17">
        <v>0</v>
      </c>
      <c r="AW62" s="17">
        <v>0</v>
      </c>
      <c r="AX62" s="17">
        <v>0</v>
      </c>
      <c r="AY62" s="17">
        <v>0.47255000000000003</v>
      </c>
      <c r="AZ62" s="17">
        <v>0</v>
      </c>
      <c r="BA62" s="17">
        <v>0</v>
      </c>
      <c r="BB62" s="17">
        <v>0</v>
      </c>
      <c r="BC62" s="17">
        <v>0</v>
      </c>
      <c r="BD62" s="17">
        <v>0</v>
      </c>
      <c r="BE62" s="17">
        <v>0</v>
      </c>
      <c r="BF62" s="17">
        <v>0</v>
      </c>
      <c r="BG62" s="17">
        <v>0</v>
      </c>
      <c r="BH62" s="17">
        <v>0</v>
      </c>
      <c r="BI62" s="17">
        <v>0</v>
      </c>
      <c r="BJ62" s="17">
        <v>0.22330350250000003</v>
      </c>
      <c r="BK62" s="17">
        <v>0</v>
      </c>
      <c r="BL62" s="17">
        <v>0</v>
      </c>
      <c r="BM62" s="17">
        <v>0</v>
      </c>
      <c r="BN62" s="17">
        <v>0</v>
      </c>
      <c r="BO62" s="17">
        <v>0</v>
      </c>
      <c r="BP62" s="17">
        <v>0</v>
      </c>
      <c r="BQ62" s="17">
        <v>0</v>
      </c>
      <c r="BR62" s="17">
        <v>0</v>
      </c>
      <c r="BS62" s="17">
        <v>0</v>
      </c>
      <c r="BT62" s="17">
        <v>0</v>
      </c>
      <c r="BU62" s="17">
        <v>0</v>
      </c>
      <c r="BV62" s="17">
        <v>0</v>
      </c>
      <c r="BW62" s="17">
        <v>0</v>
      </c>
      <c r="BX62" s="17">
        <v>0</v>
      </c>
      <c r="BY62" s="17">
        <v>0</v>
      </c>
      <c r="BZ62" s="17">
        <v>0</v>
      </c>
      <c r="CA62" s="17">
        <v>0</v>
      </c>
      <c r="CB62" s="17">
        <v>0</v>
      </c>
      <c r="CC62" s="17">
        <v>0</v>
      </c>
      <c r="CD62" s="17">
        <v>0</v>
      </c>
      <c r="CE62" s="17">
        <v>0</v>
      </c>
      <c r="CF62" s="17">
        <v>0</v>
      </c>
      <c r="CG62" s="17">
        <v>0</v>
      </c>
      <c r="CH62" s="17">
        <v>0</v>
      </c>
      <c r="CI62" s="17">
        <v>0</v>
      </c>
      <c r="CJ62" s="17">
        <v>0</v>
      </c>
      <c r="CK62" s="18">
        <v>0</v>
      </c>
    </row>
    <row r="63" spans="1:89">
      <c r="A63" s="5" t="s">
        <v>23</v>
      </c>
      <c r="B63" s="44" t="s">
        <v>48</v>
      </c>
      <c r="C63" s="6" t="s">
        <v>67</v>
      </c>
      <c r="D63" s="5">
        <v>48</v>
      </c>
      <c r="E63" s="31">
        <v>0.16605492127926177</v>
      </c>
      <c r="F63" s="38">
        <f t="shared" si="2"/>
        <v>2408.238191889267</v>
      </c>
      <c r="J63" s="44">
        <v>48</v>
      </c>
      <c r="K63" s="73">
        <v>-1.33141</v>
      </c>
      <c r="L63" s="17">
        <f t="shared" si="0"/>
        <v>1.7726525880999999</v>
      </c>
      <c r="M63" s="52">
        <f t="shared" si="3"/>
        <v>0</v>
      </c>
      <c r="N63" s="18">
        <f t="shared" si="1"/>
        <v>0</v>
      </c>
      <c r="Q63" s="56">
        <v>1.56712699376741E-3</v>
      </c>
      <c r="R63" s="60">
        <v>0</v>
      </c>
      <c r="S63" s="16">
        <v>10</v>
      </c>
      <c r="T63" s="17">
        <v>14</v>
      </c>
      <c r="U63" s="18">
        <v>0.1111111111111111</v>
      </c>
      <c r="W63" s="16">
        <v>0</v>
      </c>
      <c r="X63" s="17">
        <v>0</v>
      </c>
      <c r="Y63" s="17">
        <v>0</v>
      </c>
      <c r="Z63" s="17">
        <v>0</v>
      </c>
      <c r="AA63" s="17">
        <v>0</v>
      </c>
      <c r="AB63" s="17">
        <v>1</v>
      </c>
      <c r="AC63" s="17">
        <v>0</v>
      </c>
      <c r="AD63" s="17">
        <v>0</v>
      </c>
      <c r="AE63" s="17">
        <v>0</v>
      </c>
      <c r="AF63" s="17">
        <v>0</v>
      </c>
      <c r="AG63" s="18">
        <v>0</v>
      </c>
      <c r="AI63" s="16">
        <v>0</v>
      </c>
      <c r="AJ63" s="17">
        <v>0</v>
      </c>
      <c r="AK63" s="17">
        <v>0</v>
      </c>
      <c r="AL63" s="17">
        <v>0</v>
      </c>
      <c r="AM63" s="17">
        <v>0</v>
      </c>
      <c r="AN63" s="17">
        <v>1</v>
      </c>
      <c r="AO63" s="17">
        <v>0</v>
      </c>
      <c r="AP63" s="17">
        <v>0</v>
      </c>
      <c r="AQ63" s="17">
        <v>0</v>
      </c>
      <c r="AR63" s="17">
        <v>0</v>
      </c>
      <c r="AS63" s="17">
        <v>0</v>
      </c>
      <c r="AT63" s="17">
        <v>0</v>
      </c>
      <c r="AU63" s="17">
        <v>0</v>
      </c>
      <c r="AV63" s="17">
        <v>0</v>
      </c>
      <c r="AW63" s="17">
        <v>0</v>
      </c>
      <c r="AX63" s="17">
        <v>0</v>
      </c>
      <c r="AY63" s="17">
        <v>-1.33141</v>
      </c>
      <c r="AZ63" s="17">
        <v>0</v>
      </c>
      <c r="BA63" s="17">
        <v>0</v>
      </c>
      <c r="BB63" s="17">
        <v>0</v>
      </c>
      <c r="BC63" s="17">
        <v>0</v>
      </c>
      <c r="BD63" s="17">
        <v>0</v>
      </c>
      <c r="BE63" s="17">
        <v>0</v>
      </c>
      <c r="BF63" s="17">
        <v>0</v>
      </c>
      <c r="BG63" s="17">
        <v>0</v>
      </c>
      <c r="BH63" s="17">
        <v>0</v>
      </c>
      <c r="BI63" s="17">
        <v>0</v>
      </c>
      <c r="BJ63" s="17">
        <v>1.7726525880999999</v>
      </c>
      <c r="BK63" s="17">
        <v>0</v>
      </c>
      <c r="BL63" s="17">
        <v>0</v>
      </c>
      <c r="BM63" s="17">
        <v>0</v>
      </c>
      <c r="BN63" s="17">
        <v>0</v>
      </c>
      <c r="BO63" s="17">
        <v>0</v>
      </c>
      <c r="BP63" s="17">
        <v>0</v>
      </c>
      <c r="BQ63" s="17">
        <v>0</v>
      </c>
      <c r="BR63" s="17">
        <v>0</v>
      </c>
      <c r="BS63" s="17">
        <v>0</v>
      </c>
      <c r="BT63" s="17">
        <v>0</v>
      </c>
      <c r="BU63" s="17">
        <v>0</v>
      </c>
      <c r="BV63" s="17">
        <v>0</v>
      </c>
      <c r="BW63" s="17">
        <v>0</v>
      </c>
      <c r="BX63" s="17">
        <v>0</v>
      </c>
      <c r="BY63" s="17">
        <v>0</v>
      </c>
      <c r="BZ63" s="17">
        <v>0</v>
      </c>
      <c r="CA63" s="17">
        <v>0</v>
      </c>
      <c r="CB63" s="17">
        <v>0</v>
      </c>
      <c r="CC63" s="17">
        <v>0</v>
      </c>
      <c r="CD63" s="17">
        <v>0</v>
      </c>
      <c r="CE63" s="17">
        <v>0</v>
      </c>
      <c r="CF63" s="17">
        <v>0</v>
      </c>
      <c r="CG63" s="17">
        <v>0</v>
      </c>
      <c r="CH63" s="17">
        <v>0</v>
      </c>
      <c r="CI63" s="17">
        <v>0</v>
      </c>
      <c r="CJ63" s="17">
        <v>0</v>
      </c>
      <c r="CK63" s="18">
        <v>0</v>
      </c>
    </row>
    <row r="64" spans="1:89">
      <c r="A64" s="5" t="s">
        <v>23</v>
      </c>
      <c r="B64" s="44" t="s">
        <v>48</v>
      </c>
      <c r="C64" s="6" t="s">
        <v>69</v>
      </c>
      <c r="D64" s="5">
        <v>49</v>
      </c>
      <c r="E64" s="31">
        <v>0.1610149969576935</v>
      </c>
      <c r="F64" s="38">
        <f t="shared" si="2"/>
        <v>1652.249543654026</v>
      </c>
      <c r="J64" s="44">
        <v>49</v>
      </c>
      <c r="K64" s="73">
        <v>7.9047000000000006E-2</v>
      </c>
      <c r="L64" s="17">
        <f t="shared" si="0"/>
        <v>6.2484282090000008E-3</v>
      </c>
      <c r="M64" s="52">
        <f t="shared" si="3"/>
        <v>0</v>
      </c>
      <c r="N64" s="18">
        <f t="shared" si="1"/>
        <v>0</v>
      </c>
      <c r="Q64" s="56">
        <v>1.14491312705603E-4</v>
      </c>
      <c r="R64" s="60">
        <v>0</v>
      </c>
      <c r="S64" s="16">
        <v>11</v>
      </c>
      <c r="T64" s="17">
        <v>9</v>
      </c>
      <c r="U64" s="18">
        <v>0.2</v>
      </c>
      <c r="W64" s="16">
        <v>0</v>
      </c>
      <c r="X64" s="17">
        <v>0</v>
      </c>
      <c r="Y64" s="17">
        <v>0</v>
      </c>
      <c r="Z64" s="17">
        <v>0</v>
      </c>
      <c r="AA64" s="17">
        <v>0</v>
      </c>
      <c r="AB64" s="17">
        <v>1</v>
      </c>
      <c r="AC64" s="17">
        <v>0</v>
      </c>
      <c r="AD64" s="17">
        <v>0</v>
      </c>
      <c r="AE64" s="17">
        <v>0</v>
      </c>
      <c r="AF64" s="17">
        <v>0</v>
      </c>
      <c r="AG64" s="18">
        <v>0</v>
      </c>
      <c r="AI64" s="16">
        <v>0</v>
      </c>
      <c r="AJ64" s="17">
        <v>0</v>
      </c>
      <c r="AK64" s="17">
        <v>0</v>
      </c>
      <c r="AL64" s="17">
        <v>0</v>
      </c>
      <c r="AM64" s="17">
        <v>0</v>
      </c>
      <c r="AN64" s="17">
        <v>1</v>
      </c>
      <c r="AO64" s="17">
        <v>0</v>
      </c>
      <c r="AP64" s="17">
        <v>0</v>
      </c>
      <c r="AQ64" s="17">
        <v>0</v>
      </c>
      <c r="AR64" s="17">
        <v>0</v>
      </c>
      <c r="AS64" s="17">
        <v>0</v>
      </c>
      <c r="AT64" s="17">
        <v>0</v>
      </c>
      <c r="AU64" s="17">
        <v>0</v>
      </c>
      <c r="AV64" s="17">
        <v>0</v>
      </c>
      <c r="AW64" s="17">
        <v>0</v>
      </c>
      <c r="AX64" s="17">
        <v>0</v>
      </c>
      <c r="AY64" s="17">
        <v>7.9047000000000006E-2</v>
      </c>
      <c r="AZ64" s="17">
        <v>0</v>
      </c>
      <c r="BA64" s="17">
        <v>0</v>
      </c>
      <c r="BB64" s="17">
        <v>0</v>
      </c>
      <c r="BC64" s="17">
        <v>0</v>
      </c>
      <c r="BD64" s="17">
        <v>0</v>
      </c>
      <c r="BE64" s="17">
        <v>0</v>
      </c>
      <c r="BF64" s="17">
        <v>0</v>
      </c>
      <c r="BG64" s="17">
        <v>0</v>
      </c>
      <c r="BH64" s="17">
        <v>0</v>
      </c>
      <c r="BI64" s="17">
        <v>0</v>
      </c>
      <c r="BJ64" s="17">
        <v>6.2484282090000008E-3</v>
      </c>
      <c r="BK64" s="17">
        <v>0</v>
      </c>
      <c r="BL64" s="17">
        <v>0</v>
      </c>
      <c r="BM64" s="17">
        <v>0</v>
      </c>
      <c r="BN64" s="17">
        <v>0</v>
      </c>
      <c r="BO64" s="17">
        <v>0</v>
      </c>
      <c r="BP64" s="17">
        <v>0</v>
      </c>
      <c r="BQ64" s="17">
        <v>0</v>
      </c>
      <c r="BR64" s="17">
        <v>0</v>
      </c>
      <c r="BS64" s="17">
        <v>0</v>
      </c>
      <c r="BT64" s="17">
        <v>0</v>
      </c>
      <c r="BU64" s="17">
        <v>0</v>
      </c>
      <c r="BV64" s="17">
        <v>0</v>
      </c>
      <c r="BW64" s="17">
        <v>0</v>
      </c>
      <c r="BX64" s="17">
        <v>0</v>
      </c>
      <c r="BY64" s="17">
        <v>0</v>
      </c>
      <c r="BZ64" s="17">
        <v>0</v>
      </c>
      <c r="CA64" s="17">
        <v>0</v>
      </c>
      <c r="CB64" s="17">
        <v>0</v>
      </c>
      <c r="CC64" s="17">
        <v>0</v>
      </c>
      <c r="CD64" s="17">
        <v>0</v>
      </c>
      <c r="CE64" s="17">
        <v>0</v>
      </c>
      <c r="CF64" s="17">
        <v>0</v>
      </c>
      <c r="CG64" s="17">
        <v>0</v>
      </c>
      <c r="CH64" s="17">
        <v>0</v>
      </c>
      <c r="CI64" s="17">
        <v>0</v>
      </c>
      <c r="CJ64" s="17">
        <v>0</v>
      </c>
      <c r="CK64" s="18">
        <v>0</v>
      </c>
    </row>
    <row r="65" spans="1:89">
      <c r="A65" s="5" t="s">
        <v>23</v>
      </c>
      <c r="B65" s="44" t="s">
        <v>48</v>
      </c>
      <c r="C65" s="6" t="s">
        <v>70</v>
      </c>
      <c r="D65" s="5">
        <v>50</v>
      </c>
      <c r="E65" s="31">
        <v>0.16642061833874605</v>
      </c>
      <c r="F65" s="38">
        <f t="shared" si="2"/>
        <v>2463.0927508119084</v>
      </c>
      <c r="J65" s="44">
        <v>50</v>
      </c>
      <c r="K65" s="73">
        <v>-0.38939800000000002</v>
      </c>
      <c r="L65" s="17">
        <f t="shared" si="0"/>
        <v>0.15163080240400001</v>
      </c>
      <c r="M65" s="52">
        <f t="shared" si="3"/>
        <v>0</v>
      </c>
      <c r="N65" s="18">
        <f t="shared" si="1"/>
        <v>0</v>
      </c>
      <c r="Q65" s="56">
        <v>1.1496425717359001E-4</v>
      </c>
      <c r="R65" s="60">
        <v>0</v>
      </c>
      <c r="S65" s="16">
        <v>11</v>
      </c>
      <c r="T65" s="17">
        <v>10</v>
      </c>
      <c r="U65" s="18">
        <v>0.2</v>
      </c>
      <c r="W65" s="16">
        <v>0</v>
      </c>
      <c r="X65" s="17">
        <v>0</v>
      </c>
      <c r="Y65" s="17">
        <v>0</v>
      </c>
      <c r="Z65" s="17">
        <v>0</v>
      </c>
      <c r="AA65" s="17">
        <v>0</v>
      </c>
      <c r="AB65" s="17">
        <v>1</v>
      </c>
      <c r="AC65" s="17">
        <v>0</v>
      </c>
      <c r="AD65" s="17">
        <v>0</v>
      </c>
      <c r="AE65" s="17">
        <v>0</v>
      </c>
      <c r="AF65" s="17">
        <v>0</v>
      </c>
      <c r="AG65" s="18">
        <v>0</v>
      </c>
      <c r="AI65" s="16">
        <v>0</v>
      </c>
      <c r="AJ65" s="17">
        <v>0</v>
      </c>
      <c r="AK65" s="17">
        <v>0</v>
      </c>
      <c r="AL65" s="17">
        <v>0</v>
      </c>
      <c r="AM65" s="17">
        <v>0</v>
      </c>
      <c r="AN65" s="17">
        <v>1</v>
      </c>
      <c r="AO65" s="17">
        <v>0</v>
      </c>
      <c r="AP65" s="17">
        <v>0</v>
      </c>
      <c r="AQ65" s="17">
        <v>0</v>
      </c>
      <c r="AR65" s="17">
        <v>0</v>
      </c>
      <c r="AS65" s="17">
        <v>0</v>
      </c>
      <c r="AT65" s="17">
        <v>0</v>
      </c>
      <c r="AU65" s="17">
        <v>0</v>
      </c>
      <c r="AV65" s="17">
        <v>0</v>
      </c>
      <c r="AW65" s="17">
        <v>0</v>
      </c>
      <c r="AX65" s="17">
        <v>0</v>
      </c>
      <c r="AY65" s="17">
        <v>-0.38939800000000002</v>
      </c>
      <c r="AZ65" s="17">
        <v>0</v>
      </c>
      <c r="BA65" s="17">
        <v>0</v>
      </c>
      <c r="BB65" s="17">
        <v>0</v>
      </c>
      <c r="BC65" s="17">
        <v>0</v>
      </c>
      <c r="BD65" s="17">
        <v>0</v>
      </c>
      <c r="BE65" s="17">
        <v>0</v>
      </c>
      <c r="BF65" s="17">
        <v>0</v>
      </c>
      <c r="BG65" s="17">
        <v>0</v>
      </c>
      <c r="BH65" s="17">
        <v>0</v>
      </c>
      <c r="BI65" s="17">
        <v>0</v>
      </c>
      <c r="BJ65" s="17">
        <v>0.15163080240400001</v>
      </c>
      <c r="BK65" s="17">
        <v>0</v>
      </c>
      <c r="BL65" s="17">
        <v>0</v>
      </c>
      <c r="BM65" s="17">
        <v>0</v>
      </c>
      <c r="BN65" s="17">
        <v>0</v>
      </c>
      <c r="BO65" s="17">
        <v>0</v>
      </c>
      <c r="BP65" s="17">
        <v>0</v>
      </c>
      <c r="BQ65" s="17">
        <v>0</v>
      </c>
      <c r="BR65" s="17">
        <v>0</v>
      </c>
      <c r="BS65" s="17">
        <v>0</v>
      </c>
      <c r="BT65" s="17">
        <v>0</v>
      </c>
      <c r="BU65" s="17">
        <v>0</v>
      </c>
      <c r="BV65" s="17">
        <v>0</v>
      </c>
      <c r="BW65" s="17">
        <v>0</v>
      </c>
      <c r="BX65" s="17">
        <v>0</v>
      </c>
      <c r="BY65" s="17">
        <v>0</v>
      </c>
      <c r="BZ65" s="17">
        <v>0</v>
      </c>
      <c r="CA65" s="17">
        <v>0</v>
      </c>
      <c r="CB65" s="17">
        <v>0</v>
      </c>
      <c r="CC65" s="17">
        <v>0</v>
      </c>
      <c r="CD65" s="17">
        <v>0</v>
      </c>
      <c r="CE65" s="17">
        <v>0</v>
      </c>
      <c r="CF65" s="17">
        <v>0</v>
      </c>
      <c r="CG65" s="17">
        <v>0</v>
      </c>
      <c r="CH65" s="17">
        <v>0</v>
      </c>
      <c r="CI65" s="17">
        <v>0</v>
      </c>
      <c r="CJ65" s="17">
        <v>0</v>
      </c>
      <c r="CK65" s="18">
        <v>0</v>
      </c>
    </row>
    <row r="66" spans="1:89">
      <c r="A66" s="5" t="s">
        <v>23</v>
      </c>
      <c r="B66" s="44" t="s">
        <v>48</v>
      </c>
      <c r="C66" s="6" t="s">
        <v>71</v>
      </c>
      <c r="D66" s="5">
        <v>51</v>
      </c>
      <c r="E66" s="31">
        <v>0.17404440915773617</v>
      </c>
      <c r="F66" s="38">
        <f t="shared" si="2"/>
        <v>3606.6613736604263</v>
      </c>
      <c r="J66" s="44">
        <v>51</v>
      </c>
      <c r="K66" s="73">
        <v>-1.6188499999999999</v>
      </c>
      <c r="L66" s="17">
        <f t="shared" si="0"/>
        <v>2.6206753224999995</v>
      </c>
      <c r="M66" s="52">
        <f t="shared" si="3"/>
        <v>0</v>
      </c>
      <c r="N66" s="18">
        <f t="shared" si="1"/>
        <v>0</v>
      </c>
      <c r="Q66" s="56">
        <v>2.4011695571220801E-4</v>
      </c>
      <c r="R66" s="60">
        <v>0</v>
      </c>
      <c r="S66" s="16">
        <v>11</v>
      </c>
      <c r="T66" s="17">
        <v>12</v>
      </c>
      <c r="U66" s="18">
        <v>0.2</v>
      </c>
      <c r="W66" s="16">
        <v>0</v>
      </c>
      <c r="X66" s="17">
        <v>0</v>
      </c>
      <c r="Y66" s="17">
        <v>0</v>
      </c>
      <c r="Z66" s="17">
        <v>0</v>
      </c>
      <c r="AA66" s="17">
        <v>0</v>
      </c>
      <c r="AB66" s="17">
        <v>1</v>
      </c>
      <c r="AC66" s="17">
        <v>0</v>
      </c>
      <c r="AD66" s="17">
        <v>0</v>
      </c>
      <c r="AE66" s="17">
        <v>0</v>
      </c>
      <c r="AF66" s="17">
        <v>0</v>
      </c>
      <c r="AG66" s="18">
        <v>0</v>
      </c>
      <c r="AI66" s="16">
        <v>0</v>
      </c>
      <c r="AJ66" s="17">
        <v>0</v>
      </c>
      <c r="AK66" s="17">
        <v>0</v>
      </c>
      <c r="AL66" s="17">
        <v>0</v>
      </c>
      <c r="AM66" s="17">
        <v>0</v>
      </c>
      <c r="AN66" s="17">
        <v>1</v>
      </c>
      <c r="AO66" s="17">
        <v>0</v>
      </c>
      <c r="AP66" s="17">
        <v>0</v>
      </c>
      <c r="AQ66" s="17">
        <v>0</v>
      </c>
      <c r="AR66" s="17">
        <v>0</v>
      </c>
      <c r="AS66" s="17">
        <v>0</v>
      </c>
      <c r="AT66" s="17">
        <v>0</v>
      </c>
      <c r="AU66" s="17">
        <v>0</v>
      </c>
      <c r="AV66" s="17">
        <v>0</v>
      </c>
      <c r="AW66" s="17">
        <v>0</v>
      </c>
      <c r="AX66" s="17">
        <v>0</v>
      </c>
      <c r="AY66" s="17">
        <v>-1.6188499999999999</v>
      </c>
      <c r="AZ66" s="17">
        <v>0</v>
      </c>
      <c r="BA66" s="17">
        <v>0</v>
      </c>
      <c r="BB66" s="17">
        <v>0</v>
      </c>
      <c r="BC66" s="17">
        <v>0</v>
      </c>
      <c r="BD66" s="17">
        <v>0</v>
      </c>
      <c r="BE66" s="17">
        <v>0</v>
      </c>
      <c r="BF66" s="17">
        <v>0</v>
      </c>
      <c r="BG66" s="17">
        <v>0</v>
      </c>
      <c r="BH66" s="17">
        <v>0</v>
      </c>
      <c r="BI66" s="17">
        <v>0</v>
      </c>
      <c r="BJ66" s="17">
        <v>2.6206753224999995</v>
      </c>
      <c r="BK66" s="17">
        <v>0</v>
      </c>
      <c r="BL66" s="17">
        <v>0</v>
      </c>
      <c r="BM66" s="17">
        <v>0</v>
      </c>
      <c r="BN66" s="17">
        <v>0</v>
      </c>
      <c r="BO66" s="17">
        <v>0</v>
      </c>
      <c r="BP66" s="17">
        <v>0</v>
      </c>
      <c r="BQ66" s="17">
        <v>0</v>
      </c>
      <c r="BR66" s="17">
        <v>0</v>
      </c>
      <c r="BS66" s="17">
        <v>0</v>
      </c>
      <c r="BT66" s="17">
        <v>0</v>
      </c>
      <c r="BU66" s="17">
        <v>0</v>
      </c>
      <c r="BV66" s="17">
        <v>0</v>
      </c>
      <c r="BW66" s="17">
        <v>0</v>
      </c>
      <c r="BX66" s="17">
        <v>0</v>
      </c>
      <c r="BY66" s="17">
        <v>0</v>
      </c>
      <c r="BZ66" s="17">
        <v>0</v>
      </c>
      <c r="CA66" s="17">
        <v>0</v>
      </c>
      <c r="CB66" s="17">
        <v>0</v>
      </c>
      <c r="CC66" s="17">
        <v>0</v>
      </c>
      <c r="CD66" s="17">
        <v>0</v>
      </c>
      <c r="CE66" s="17">
        <v>0</v>
      </c>
      <c r="CF66" s="17">
        <v>0</v>
      </c>
      <c r="CG66" s="17">
        <v>0</v>
      </c>
      <c r="CH66" s="17">
        <v>0</v>
      </c>
      <c r="CI66" s="17">
        <v>0</v>
      </c>
      <c r="CJ66" s="17">
        <v>0</v>
      </c>
      <c r="CK66" s="18">
        <v>0</v>
      </c>
    </row>
    <row r="67" spans="1:89">
      <c r="A67" s="5" t="s">
        <v>23</v>
      </c>
      <c r="B67" s="44" t="s">
        <v>48</v>
      </c>
      <c r="C67" s="6" t="s">
        <v>72</v>
      </c>
      <c r="D67" s="5">
        <v>52</v>
      </c>
      <c r="E67" s="31">
        <v>0.1703164839040649</v>
      </c>
      <c r="F67" s="38">
        <f t="shared" si="2"/>
        <v>3047.4725856097352</v>
      </c>
      <c r="J67" s="44">
        <v>52</v>
      </c>
      <c r="K67" s="73">
        <v>-0.95840199999999998</v>
      </c>
      <c r="L67" s="17">
        <f t="shared" si="0"/>
        <v>0.91853439360399991</v>
      </c>
      <c r="M67" s="52">
        <f t="shared" si="3"/>
        <v>0</v>
      </c>
      <c r="N67" s="18">
        <f t="shared" si="1"/>
        <v>0</v>
      </c>
      <c r="Q67" s="56">
        <v>-2.3060837740318901E-4</v>
      </c>
      <c r="R67" s="60">
        <v>0</v>
      </c>
      <c r="S67" s="16">
        <v>11</v>
      </c>
      <c r="T67" s="17">
        <v>68</v>
      </c>
      <c r="U67" s="18">
        <v>0.2</v>
      </c>
      <c r="W67" s="16">
        <v>0</v>
      </c>
      <c r="X67" s="17">
        <v>0</v>
      </c>
      <c r="Y67" s="17">
        <v>0</v>
      </c>
      <c r="Z67" s="17">
        <v>0</v>
      </c>
      <c r="AA67" s="17">
        <v>0</v>
      </c>
      <c r="AB67" s="17">
        <v>1</v>
      </c>
      <c r="AC67" s="17">
        <v>0</v>
      </c>
      <c r="AD67" s="17">
        <v>0</v>
      </c>
      <c r="AE67" s="17">
        <v>0</v>
      </c>
      <c r="AF67" s="17">
        <v>0</v>
      </c>
      <c r="AG67" s="18">
        <v>0</v>
      </c>
      <c r="AI67" s="16">
        <v>0</v>
      </c>
      <c r="AJ67" s="17">
        <v>0</v>
      </c>
      <c r="AK67" s="17">
        <v>0</v>
      </c>
      <c r="AL67" s="17">
        <v>0</v>
      </c>
      <c r="AM67" s="17">
        <v>0</v>
      </c>
      <c r="AN67" s="17">
        <v>1</v>
      </c>
      <c r="AO67" s="17">
        <v>0</v>
      </c>
      <c r="AP67" s="17">
        <v>0</v>
      </c>
      <c r="AQ67" s="17">
        <v>0</v>
      </c>
      <c r="AR67" s="17">
        <v>0</v>
      </c>
      <c r="AS67" s="17">
        <v>0</v>
      </c>
      <c r="AT67" s="17">
        <v>0</v>
      </c>
      <c r="AU67" s="17">
        <v>0</v>
      </c>
      <c r="AV67" s="17">
        <v>0</v>
      </c>
      <c r="AW67" s="17">
        <v>0</v>
      </c>
      <c r="AX67" s="17">
        <v>0</v>
      </c>
      <c r="AY67" s="17">
        <v>-0.95840199999999998</v>
      </c>
      <c r="AZ67" s="17">
        <v>0</v>
      </c>
      <c r="BA67" s="17">
        <v>0</v>
      </c>
      <c r="BB67" s="17">
        <v>0</v>
      </c>
      <c r="BC67" s="17">
        <v>0</v>
      </c>
      <c r="BD67" s="17">
        <v>0</v>
      </c>
      <c r="BE67" s="17">
        <v>0</v>
      </c>
      <c r="BF67" s="17">
        <v>0</v>
      </c>
      <c r="BG67" s="17">
        <v>0</v>
      </c>
      <c r="BH67" s="17">
        <v>0</v>
      </c>
      <c r="BI67" s="17">
        <v>0</v>
      </c>
      <c r="BJ67" s="17">
        <v>0.91853439360399991</v>
      </c>
      <c r="BK67" s="17">
        <v>0</v>
      </c>
      <c r="BL67" s="17">
        <v>0</v>
      </c>
      <c r="BM67" s="17">
        <v>0</v>
      </c>
      <c r="BN67" s="17">
        <v>0</v>
      </c>
      <c r="BO67" s="17">
        <v>0</v>
      </c>
      <c r="BP67" s="17">
        <v>0</v>
      </c>
      <c r="BQ67" s="17">
        <v>0</v>
      </c>
      <c r="BR67" s="17">
        <v>0</v>
      </c>
      <c r="BS67" s="17">
        <v>0</v>
      </c>
      <c r="BT67" s="17">
        <v>0</v>
      </c>
      <c r="BU67" s="17">
        <v>0</v>
      </c>
      <c r="BV67" s="17">
        <v>0</v>
      </c>
      <c r="BW67" s="17">
        <v>0</v>
      </c>
      <c r="BX67" s="17">
        <v>0</v>
      </c>
      <c r="BY67" s="17">
        <v>0</v>
      </c>
      <c r="BZ67" s="17">
        <v>0</v>
      </c>
      <c r="CA67" s="17">
        <v>0</v>
      </c>
      <c r="CB67" s="17">
        <v>0</v>
      </c>
      <c r="CC67" s="17">
        <v>0</v>
      </c>
      <c r="CD67" s="17">
        <v>0</v>
      </c>
      <c r="CE67" s="17">
        <v>0</v>
      </c>
      <c r="CF67" s="17">
        <v>0</v>
      </c>
      <c r="CG67" s="17">
        <v>0</v>
      </c>
      <c r="CH67" s="17">
        <v>0</v>
      </c>
      <c r="CI67" s="17">
        <v>0</v>
      </c>
      <c r="CJ67" s="17">
        <v>0</v>
      </c>
      <c r="CK67" s="18">
        <v>0</v>
      </c>
    </row>
    <row r="68" spans="1:89">
      <c r="A68" s="5" t="s">
        <v>23</v>
      </c>
      <c r="B68" s="44" t="s">
        <v>48</v>
      </c>
      <c r="C68" s="6" t="s">
        <v>73</v>
      </c>
      <c r="D68" s="5">
        <v>53</v>
      </c>
      <c r="E68" s="31">
        <v>0.16042198983804737</v>
      </c>
      <c r="F68" s="38">
        <f t="shared" si="2"/>
        <v>1563.298475707106</v>
      </c>
      <c r="J68" s="44">
        <v>53</v>
      </c>
      <c r="K68" s="73">
        <v>-0.145674</v>
      </c>
      <c r="L68" s="17">
        <f t="shared" si="0"/>
        <v>2.1220914276000001E-2</v>
      </c>
      <c r="M68" s="52">
        <f t="shared" si="3"/>
        <v>0</v>
      </c>
      <c r="N68" s="18">
        <f t="shared" si="1"/>
        <v>0</v>
      </c>
      <c r="Q68" s="57">
        <v>4.5946619597588402E-4</v>
      </c>
      <c r="R68" s="60">
        <v>0</v>
      </c>
      <c r="S68" s="16">
        <v>11</v>
      </c>
      <c r="T68" s="17">
        <v>83</v>
      </c>
      <c r="U68" s="18">
        <v>0.2</v>
      </c>
      <c r="W68" s="16">
        <v>0</v>
      </c>
      <c r="X68" s="17">
        <v>0</v>
      </c>
      <c r="Y68" s="17">
        <v>0</v>
      </c>
      <c r="Z68" s="17">
        <v>0</v>
      </c>
      <c r="AA68" s="17">
        <v>0</v>
      </c>
      <c r="AB68" s="17">
        <v>1</v>
      </c>
      <c r="AC68" s="17">
        <v>0</v>
      </c>
      <c r="AD68" s="17">
        <v>0</v>
      </c>
      <c r="AE68" s="17">
        <v>0</v>
      </c>
      <c r="AF68" s="17">
        <v>0</v>
      </c>
      <c r="AG68" s="18">
        <v>0</v>
      </c>
      <c r="AI68" s="16">
        <v>0</v>
      </c>
      <c r="AJ68" s="17">
        <v>0</v>
      </c>
      <c r="AK68" s="17">
        <v>0</v>
      </c>
      <c r="AL68" s="17">
        <v>0</v>
      </c>
      <c r="AM68" s="17">
        <v>0</v>
      </c>
      <c r="AN68" s="17">
        <v>1</v>
      </c>
      <c r="AO68" s="17">
        <v>0</v>
      </c>
      <c r="AP68" s="17">
        <v>0</v>
      </c>
      <c r="AQ68" s="17">
        <v>0</v>
      </c>
      <c r="AR68" s="17">
        <v>0</v>
      </c>
      <c r="AS68" s="17">
        <v>0</v>
      </c>
      <c r="AT68" s="17">
        <v>0</v>
      </c>
      <c r="AU68" s="17">
        <v>0</v>
      </c>
      <c r="AV68" s="17">
        <v>0</v>
      </c>
      <c r="AW68" s="17">
        <v>0</v>
      </c>
      <c r="AX68" s="17">
        <v>0</v>
      </c>
      <c r="AY68" s="17">
        <v>-0.145674</v>
      </c>
      <c r="AZ68" s="17">
        <v>0</v>
      </c>
      <c r="BA68" s="17">
        <v>0</v>
      </c>
      <c r="BB68" s="17">
        <v>0</v>
      </c>
      <c r="BC68" s="17">
        <v>0</v>
      </c>
      <c r="BD68" s="17">
        <v>0</v>
      </c>
      <c r="BE68" s="17">
        <v>0</v>
      </c>
      <c r="BF68" s="17">
        <v>0</v>
      </c>
      <c r="BG68" s="17">
        <v>0</v>
      </c>
      <c r="BH68" s="17">
        <v>0</v>
      </c>
      <c r="BI68" s="17">
        <v>0</v>
      </c>
      <c r="BJ68" s="17">
        <v>2.1220914276000001E-2</v>
      </c>
      <c r="BK68" s="17">
        <v>0</v>
      </c>
      <c r="BL68" s="17">
        <v>0</v>
      </c>
      <c r="BM68" s="17">
        <v>0</v>
      </c>
      <c r="BN68" s="17">
        <v>0</v>
      </c>
      <c r="BO68" s="17">
        <v>0</v>
      </c>
      <c r="BP68" s="17">
        <v>0</v>
      </c>
      <c r="BQ68" s="17">
        <v>0</v>
      </c>
      <c r="BR68" s="17">
        <v>0</v>
      </c>
      <c r="BS68" s="17">
        <v>0</v>
      </c>
      <c r="BT68" s="17">
        <v>0</v>
      </c>
      <c r="BU68" s="17">
        <v>0</v>
      </c>
      <c r="BV68" s="17">
        <v>0</v>
      </c>
      <c r="BW68" s="17">
        <v>0</v>
      </c>
      <c r="BX68" s="17">
        <v>0</v>
      </c>
      <c r="BY68" s="17">
        <v>0</v>
      </c>
      <c r="BZ68" s="17">
        <v>0</v>
      </c>
      <c r="CA68" s="17">
        <v>0</v>
      </c>
      <c r="CB68" s="17">
        <v>0</v>
      </c>
      <c r="CC68" s="17">
        <v>0</v>
      </c>
      <c r="CD68" s="17">
        <v>0</v>
      </c>
      <c r="CE68" s="17">
        <v>0</v>
      </c>
      <c r="CF68" s="17">
        <v>0</v>
      </c>
      <c r="CG68" s="17">
        <v>0</v>
      </c>
      <c r="CH68" s="17">
        <v>0</v>
      </c>
      <c r="CI68" s="17">
        <v>0</v>
      </c>
      <c r="CJ68" s="17">
        <v>0</v>
      </c>
      <c r="CK68" s="18">
        <v>0</v>
      </c>
    </row>
    <row r="69" spans="1:89">
      <c r="A69" s="5" t="s">
        <v>40</v>
      </c>
      <c r="B69" s="44" t="s">
        <v>52</v>
      </c>
      <c r="C69" s="6" t="s">
        <v>53</v>
      </c>
      <c r="D69" s="5">
        <v>54</v>
      </c>
      <c r="E69" s="31">
        <v>3.7855334927791487E-2</v>
      </c>
      <c r="F69" s="38">
        <f t="shared" si="2"/>
        <v>0</v>
      </c>
      <c r="J69" s="44">
        <v>54</v>
      </c>
      <c r="K69" s="73">
        <v>3.47702</v>
      </c>
      <c r="L69" s="17">
        <f t="shared" si="0"/>
        <v>12.089668080399999</v>
      </c>
      <c r="M69" s="52">
        <f t="shared" si="3"/>
        <v>0</v>
      </c>
      <c r="N69" s="18">
        <f t="shared" si="1"/>
        <v>0</v>
      </c>
      <c r="Q69" s="57">
        <v>1.03288466390256E-5</v>
      </c>
      <c r="R69" s="60">
        <v>0</v>
      </c>
      <c r="S69" s="16">
        <v>12</v>
      </c>
      <c r="T69" s="17">
        <v>7</v>
      </c>
      <c r="U69" s="18">
        <v>0.33333333333333331</v>
      </c>
      <c r="W69" s="16">
        <v>0</v>
      </c>
      <c r="X69" s="17">
        <v>0</v>
      </c>
      <c r="Y69" s="17">
        <v>0</v>
      </c>
      <c r="Z69" s="17">
        <v>0</v>
      </c>
      <c r="AA69" s="17">
        <v>0</v>
      </c>
      <c r="AB69" s="17">
        <v>0</v>
      </c>
      <c r="AC69" s="17">
        <v>1</v>
      </c>
      <c r="AD69" s="17">
        <v>0</v>
      </c>
      <c r="AE69" s="17">
        <v>0</v>
      </c>
      <c r="AF69" s="17">
        <v>0</v>
      </c>
      <c r="AG69" s="18">
        <v>0</v>
      </c>
      <c r="AI69" s="16">
        <v>0</v>
      </c>
      <c r="AJ69" s="17">
        <v>0</v>
      </c>
      <c r="AK69" s="17">
        <v>0</v>
      </c>
      <c r="AL69" s="17">
        <v>0</v>
      </c>
      <c r="AM69" s="17">
        <v>0</v>
      </c>
      <c r="AN69" s="17">
        <v>0</v>
      </c>
      <c r="AO69" s="17">
        <v>1</v>
      </c>
      <c r="AP69" s="17">
        <v>0</v>
      </c>
      <c r="AQ69" s="17">
        <v>0</v>
      </c>
      <c r="AR69" s="17">
        <v>0</v>
      </c>
      <c r="AS69" s="17">
        <v>0</v>
      </c>
      <c r="AT69" s="17">
        <v>0</v>
      </c>
      <c r="AU69" s="17">
        <v>0</v>
      </c>
      <c r="AV69" s="17">
        <v>0</v>
      </c>
      <c r="AW69" s="17">
        <v>0</v>
      </c>
      <c r="AX69" s="17">
        <v>0</v>
      </c>
      <c r="AY69" s="17">
        <v>0</v>
      </c>
      <c r="AZ69" s="17">
        <v>3.47702</v>
      </c>
      <c r="BA69" s="17">
        <v>0</v>
      </c>
      <c r="BB69" s="17">
        <v>0</v>
      </c>
      <c r="BC69" s="17">
        <v>0</v>
      </c>
      <c r="BD69" s="17">
        <v>0</v>
      </c>
      <c r="BE69" s="17">
        <v>0</v>
      </c>
      <c r="BF69" s="17">
        <v>0</v>
      </c>
      <c r="BG69" s="17">
        <v>0</v>
      </c>
      <c r="BH69" s="17">
        <v>0</v>
      </c>
      <c r="BI69" s="17">
        <v>0</v>
      </c>
      <c r="BJ69" s="17">
        <v>0</v>
      </c>
      <c r="BK69" s="17">
        <v>12.089668080399999</v>
      </c>
      <c r="BL69" s="17">
        <v>0</v>
      </c>
      <c r="BM69" s="17">
        <v>0</v>
      </c>
      <c r="BN69" s="17">
        <v>0</v>
      </c>
      <c r="BO69" s="17">
        <v>0</v>
      </c>
      <c r="BP69" s="17">
        <v>0</v>
      </c>
      <c r="BQ69" s="17">
        <v>0</v>
      </c>
      <c r="BR69" s="17">
        <v>0</v>
      </c>
      <c r="BS69" s="17">
        <v>0</v>
      </c>
      <c r="BT69" s="17">
        <v>0</v>
      </c>
      <c r="BU69" s="17">
        <v>0</v>
      </c>
      <c r="BV69" s="17">
        <v>0</v>
      </c>
      <c r="BW69" s="17">
        <v>0</v>
      </c>
      <c r="BX69" s="17">
        <v>0</v>
      </c>
      <c r="BY69" s="17">
        <v>0</v>
      </c>
      <c r="BZ69" s="17">
        <v>0</v>
      </c>
      <c r="CA69" s="17">
        <v>0</v>
      </c>
      <c r="CB69" s="17">
        <v>0</v>
      </c>
      <c r="CC69" s="17">
        <v>0</v>
      </c>
      <c r="CD69" s="17">
        <v>0</v>
      </c>
      <c r="CE69" s="17">
        <v>0</v>
      </c>
      <c r="CF69" s="17">
        <v>0</v>
      </c>
      <c r="CG69" s="17">
        <v>0</v>
      </c>
      <c r="CH69" s="17">
        <v>0</v>
      </c>
      <c r="CI69" s="17">
        <v>0</v>
      </c>
      <c r="CJ69" s="17">
        <v>0</v>
      </c>
      <c r="CK69" s="18">
        <v>0</v>
      </c>
    </row>
    <row r="70" spans="1:89" ht="15.75" thickBot="1">
      <c r="A70" s="5" t="s">
        <v>40</v>
      </c>
      <c r="B70" s="44" t="s">
        <v>52</v>
      </c>
      <c r="C70" s="6" t="s">
        <v>56</v>
      </c>
      <c r="D70" s="5">
        <v>55</v>
      </c>
      <c r="E70" s="31">
        <v>7.2371065005215202E-2</v>
      </c>
      <c r="F70" s="38">
        <f t="shared" si="2"/>
        <v>0</v>
      </c>
      <c r="J70" s="44">
        <v>55</v>
      </c>
      <c r="K70" s="73">
        <v>-1.4287300000000001</v>
      </c>
      <c r="L70" s="17">
        <f t="shared" si="0"/>
        <v>2.0412694129000002</v>
      </c>
      <c r="M70" s="52">
        <f t="shared" si="3"/>
        <v>0</v>
      </c>
      <c r="N70" s="18">
        <f t="shared" si="1"/>
        <v>0</v>
      </c>
      <c r="Q70" s="58">
        <v>3.38289966114281E-4</v>
      </c>
      <c r="R70" s="60">
        <v>0</v>
      </c>
      <c r="S70" s="16">
        <v>12</v>
      </c>
      <c r="T70" s="17">
        <v>10</v>
      </c>
      <c r="U70" s="18">
        <v>0.33333333333333331</v>
      </c>
      <c r="W70" s="16">
        <v>0</v>
      </c>
      <c r="X70" s="17">
        <v>0</v>
      </c>
      <c r="Y70" s="17">
        <v>0</v>
      </c>
      <c r="Z70" s="17">
        <v>0</v>
      </c>
      <c r="AA70" s="17">
        <v>0</v>
      </c>
      <c r="AB70" s="17">
        <v>0</v>
      </c>
      <c r="AC70" s="17">
        <v>1</v>
      </c>
      <c r="AD70" s="17">
        <v>0</v>
      </c>
      <c r="AE70" s="17">
        <v>0</v>
      </c>
      <c r="AF70" s="17">
        <v>0</v>
      </c>
      <c r="AG70" s="18">
        <v>0</v>
      </c>
      <c r="AI70" s="16">
        <v>0</v>
      </c>
      <c r="AJ70" s="17">
        <v>0</v>
      </c>
      <c r="AK70" s="17">
        <v>0</v>
      </c>
      <c r="AL70" s="17">
        <v>0</v>
      </c>
      <c r="AM70" s="17">
        <v>0</v>
      </c>
      <c r="AN70" s="17">
        <v>0</v>
      </c>
      <c r="AO70" s="17">
        <v>1</v>
      </c>
      <c r="AP70" s="17">
        <v>0</v>
      </c>
      <c r="AQ70" s="17">
        <v>0</v>
      </c>
      <c r="AR70" s="17">
        <v>0</v>
      </c>
      <c r="AS70" s="17">
        <v>0</v>
      </c>
      <c r="AT70" s="17">
        <v>0</v>
      </c>
      <c r="AU70" s="17">
        <v>0</v>
      </c>
      <c r="AV70" s="17">
        <v>0</v>
      </c>
      <c r="AW70" s="17">
        <v>0</v>
      </c>
      <c r="AX70" s="17">
        <v>0</v>
      </c>
      <c r="AY70" s="17">
        <v>0</v>
      </c>
      <c r="AZ70" s="17">
        <v>-1.4287300000000001</v>
      </c>
      <c r="BA70" s="17">
        <v>0</v>
      </c>
      <c r="BB70" s="17">
        <v>0</v>
      </c>
      <c r="BC70" s="17">
        <v>0</v>
      </c>
      <c r="BD70" s="17">
        <v>0</v>
      </c>
      <c r="BE70" s="17">
        <v>0</v>
      </c>
      <c r="BF70" s="17">
        <v>0</v>
      </c>
      <c r="BG70" s="17">
        <v>0</v>
      </c>
      <c r="BH70" s="17">
        <v>0</v>
      </c>
      <c r="BI70" s="17">
        <v>0</v>
      </c>
      <c r="BJ70" s="17">
        <v>0</v>
      </c>
      <c r="BK70" s="17">
        <v>2.0412694129000002</v>
      </c>
      <c r="BL70" s="17">
        <v>0</v>
      </c>
      <c r="BM70" s="17">
        <v>0</v>
      </c>
      <c r="BN70" s="17">
        <v>0</v>
      </c>
      <c r="BO70" s="17">
        <v>0</v>
      </c>
      <c r="BP70" s="17">
        <v>0</v>
      </c>
      <c r="BQ70" s="17">
        <v>0</v>
      </c>
      <c r="BR70" s="17">
        <v>0</v>
      </c>
      <c r="BS70" s="17">
        <v>0</v>
      </c>
      <c r="BT70" s="17">
        <v>0</v>
      </c>
      <c r="BU70" s="17">
        <v>0</v>
      </c>
      <c r="BV70" s="17">
        <v>0</v>
      </c>
      <c r="BW70" s="17">
        <v>0</v>
      </c>
      <c r="BX70" s="17">
        <v>0</v>
      </c>
      <c r="BY70" s="17">
        <v>0</v>
      </c>
      <c r="BZ70" s="17">
        <v>0</v>
      </c>
      <c r="CA70" s="17">
        <v>0</v>
      </c>
      <c r="CB70" s="17">
        <v>0</v>
      </c>
      <c r="CC70" s="17">
        <v>0</v>
      </c>
      <c r="CD70" s="17">
        <v>0</v>
      </c>
      <c r="CE70" s="17">
        <v>0</v>
      </c>
      <c r="CF70" s="17">
        <v>0</v>
      </c>
      <c r="CG70" s="17">
        <v>0</v>
      </c>
      <c r="CH70" s="17">
        <v>0</v>
      </c>
      <c r="CI70" s="17">
        <v>0</v>
      </c>
      <c r="CJ70" s="17">
        <v>0</v>
      </c>
      <c r="CK70" s="18">
        <v>0</v>
      </c>
    </row>
    <row r="71" spans="1:89">
      <c r="A71" s="5" t="s">
        <v>40</v>
      </c>
      <c r="B71" s="44" t="s">
        <v>52</v>
      </c>
      <c r="C71" s="6" t="s">
        <v>57</v>
      </c>
      <c r="D71" s="5">
        <v>56</v>
      </c>
      <c r="E71" s="31">
        <v>9.3642128972737076E-2</v>
      </c>
      <c r="F71" s="38">
        <f t="shared" si="2"/>
        <v>0</v>
      </c>
      <c r="J71" s="44">
        <v>56</v>
      </c>
      <c r="K71" s="73">
        <v>-1.59572</v>
      </c>
      <c r="L71" s="17">
        <f t="shared" si="0"/>
        <v>2.5463223184000001</v>
      </c>
      <c r="M71" s="52">
        <f t="shared" si="3"/>
        <v>0</v>
      </c>
      <c r="N71" s="18">
        <f t="shared" si="1"/>
        <v>0</v>
      </c>
      <c r="R71" s="60">
        <v>2.04428778354022E-2</v>
      </c>
      <c r="S71" s="16">
        <v>12</v>
      </c>
      <c r="T71" s="17">
        <v>11</v>
      </c>
      <c r="U71" s="18">
        <v>0.33333333333333331</v>
      </c>
      <c r="W71" s="16">
        <v>0</v>
      </c>
      <c r="X71" s="17">
        <v>0</v>
      </c>
      <c r="Y71" s="17">
        <v>0</v>
      </c>
      <c r="Z71" s="17">
        <v>0</v>
      </c>
      <c r="AA71" s="17">
        <v>0</v>
      </c>
      <c r="AB71" s="17">
        <v>0</v>
      </c>
      <c r="AC71" s="17">
        <v>1</v>
      </c>
      <c r="AD71" s="17">
        <v>0</v>
      </c>
      <c r="AE71" s="17">
        <v>0</v>
      </c>
      <c r="AF71" s="17">
        <v>0</v>
      </c>
      <c r="AG71" s="18">
        <v>0</v>
      </c>
      <c r="AI71" s="16">
        <v>0</v>
      </c>
      <c r="AJ71" s="17">
        <v>0</v>
      </c>
      <c r="AK71" s="17">
        <v>0</v>
      </c>
      <c r="AL71" s="17">
        <v>0</v>
      </c>
      <c r="AM71" s="17">
        <v>0</v>
      </c>
      <c r="AN71" s="17">
        <v>0</v>
      </c>
      <c r="AO71" s="17">
        <v>1</v>
      </c>
      <c r="AP71" s="17">
        <v>0</v>
      </c>
      <c r="AQ71" s="17">
        <v>0</v>
      </c>
      <c r="AR71" s="17">
        <v>0</v>
      </c>
      <c r="AS71" s="17">
        <v>0</v>
      </c>
      <c r="AT71" s="17">
        <v>0</v>
      </c>
      <c r="AU71" s="17">
        <v>0</v>
      </c>
      <c r="AV71" s="17">
        <v>0</v>
      </c>
      <c r="AW71" s="17">
        <v>0</v>
      </c>
      <c r="AX71" s="17">
        <v>0</v>
      </c>
      <c r="AY71" s="17">
        <v>0</v>
      </c>
      <c r="AZ71" s="17">
        <v>-1.59572</v>
      </c>
      <c r="BA71" s="17">
        <v>0</v>
      </c>
      <c r="BB71" s="17">
        <v>0</v>
      </c>
      <c r="BC71" s="17">
        <v>0</v>
      </c>
      <c r="BD71" s="17">
        <v>0</v>
      </c>
      <c r="BE71" s="17">
        <v>0</v>
      </c>
      <c r="BF71" s="17">
        <v>0</v>
      </c>
      <c r="BG71" s="17">
        <v>0</v>
      </c>
      <c r="BH71" s="17">
        <v>0</v>
      </c>
      <c r="BI71" s="17">
        <v>0</v>
      </c>
      <c r="BJ71" s="17">
        <v>0</v>
      </c>
      <c r="BK71" s="17">
        <v>2.5463223184000001</v>
      </c>
      <c r="BL71" s="17">
        <v>0</v>
      </c>
      <c r="BM71" s="17">
        <v>0</v>
      </c>
      <c r="BN71" s="17">
        <v>0</v>
      </c>
      <c r="BO71" s="17">
        <v>0</v>
      </c>
      <c r="BP71" s="17">
        <v>0</v>
      </c>
      <c r="BQ71" s="17">
        <v>0</v>
      </c>
      <c r="BR71" s="17">
        <v>0</v>
      </c>
      <c r="BS71" s="17">
        <v>0</v>
      </c>
      <c r="BT71" s="17">
        <v>0</v>
      </c>
      <c r="BU71" s="17">
        <v>0</v>
      </c>
      <c r="BV71" s="17">
        <v>0</v>
      </c>
      <c r="BW71" s="17">
        <v>0</v>
      </c>
      <c r="BX71" s="17">
        <v>0</v>
      </c>
      <c r="BY71" s="17">
        <v>0</v>
      </c>
      <c r="BZ71" s="17">
        <v>0</v>
      </c>
      <c r="CA71" s="17">
        <v>0</v>
      </c>
      <c r="CB71" s="17">
        <v>0</v>
      </c>
      <c r="CC71" s="17">
        <v>0</v>
      </c>
      <c r="CD71" s="17">
        <v>0</v>
      </c>
      <c r="CE71" s="17">
        <v>0</v>
      </c>
      <c r="CF71" s="17">
        <v>0</v>
      </c>
      <c r="CG71" s="17">
        <v>0</v>
      </c>
      <c r="CH71" s="17">
        <v>0</v>
      </c>
      <c r="CI71" s="17">
        <v>0</v>
      </c>
      <c r="CJ71" s="17">
        <v>0</v>
      </c>
      <c r="CK71" s="18">
        <v>0</v>
      </c>
    </row>
    <row r="72" spans="1:89">
      <c r="A72" s="5" t="s">
        <v>40</v>
      </c>
      <c r="B72" s="44" t="s">
        <v>52</v>
      </c>
      <c r="C72" s="6" t="s">
        <v>61</v>
      </c>
      <c r="D72" s="5">
        <v>57</v>
      </c>
      <c r="E72" s="31">
        <v>6.6669327252080288E-2</v>
      </c>
      <c r="F72" s="38">
        <f t="shared" si="2"/>
        <v>0</v>
      </c>
      <c r="J72" s="44">
        <v>57</v>
      </c>
      <c r="K72" s="73">
        <v>-0.60932900000000001</v>
      </c>
      <c r="L72" s="17">
        <f t="shared" si="0"/>
        <v>0.37128183024100003</v>
      </c>
      <c r="M72" s="52">
        <f t="shared" si="3"/>
        <v>0</v>
      </c>
      <c r="N72" s="18">
        <f t="shared" si="1"/>
        <v>0</v>
      </c>
      <c r="R72" s="60">
        <v>0</v>
      </c>
      <c r="S72" s="16">
        <v>13</v>
      </c>
      <c r="T72" s="17">
        <v>3</v>
      </c>
      <c r="U72" s="18">
        <v>0.25</v>
      </c>
      <c r="W72" s="16">
        <v>0</v>
      </c>
      <c r="X72" s="17">
        <v>0</v>
      </c>
      <c r="Y72" s="17">
        <v>0</v>
      </c>
      <c r="Z72" s="17">
        <v>0</v>
      </c>
      <c r="AA72" s="17">
        <v>0</v>
      </c>
      <c r="AB72" s="17">
        <v>0</v>
      </c>
      <c r="AC72" s="17">
        <v>1</v>
      </c>
      <c r="AD72" s="17">
        <v>0</v>
      </c>
      <c r="AE72" s="17">
        <v>0</v>
      </c>
      <c r="AF72" s="17">
        <v>0</v>
      </c>
      <c r="AG72" s="18">
        <v>0</v>
      </c>
      <c r="AI72" s="16">
        <v>0</v>
      </c>
      <c r="AJ72" s="17">
        <v>0</v>
      </c>
      <c r="AK72" s="17">
        <v>0</v>
      </c>
      <c r="AL72" s="17">
        <v>0</v>
      </c>
      <c r="AM72" s="17">
        <v>0</v>
      </c>
      <c r="AN72" s="17">
        <v>0</v>
      </c>
      <c r="AO72" s="17">
        <v>1</v>
      </c>
      <c r="AP72" s="17">
        <v>0</v>
      </c>
      <c r="AQ72" s="17">
        <v>0</v>
      </c>
      <c r="AR72" s="17">
        <v>0</v>
      </c>
      <c r="AS72" s="17">
        <v>0</v>
      </c>
      <c r="AT72" s="17">
        <v>0</v>
      </c>
      <c r="AU72" s="17">
        <v>0</v>
      </c>
      <c r="AV72" s="17">
        <v>0</v>
      </c>
      <c r="AW72" s="17">
        <v>0</v>
      </c>
      <c r="AX72" s="17">
        <v>0</v>
      </c>
      <c r="AY72" s="17">
        <v>0</v>
      </c>
      <c r="AZ72" s="17">
        <v>-0.60932900000000001</v>
      </c>
      <c r="BA72" s="17">
        <v>0</v>
      </c>
      <c r="BB72" s="17">
        <v>0</v>
      </c>
      <c r="BC72" s="17">
        <v>0</v>
      </c>
      <c r="BD72" s="17">
        <v>0</v>
      </c>
      <c r="BE72" s="17">
        <v>0</v>
      </c>
      <c r="BF72" s="17">
        <v>0</v>
      </c>
      <c r="BG72" s="17">
        <v>0</v>
      </c>
      <c r="BH72" s="17">
        <v>0</v>
      </c>
      <c r="BI72" s="17">
        <v>0</v>
      </c>
      <c r="BJ72" s="17">
        <v>0</v>
      </c>
      <c r="BK72" s="17">
        <v>0.37128183024100003</v>
      </c>
      <c r="BL72" s="17">
        <v>0</v>
      </c>
      <c r="BM72" s="17">
        <v>0</v>
      </c>
      <c r="BN72" s="17">
        <v>0</v>
      </c>
      <c r="BO72" s="17">
        <v>0</v>
      </c>
      <c r="BP72" s="17">
        <v>0</v>
      </c>
      <c r="BQ72" s="17">
        <v>0</v>
      </c>
      <c r="BR72" s="17">
        <v>0</v>
      </c>
      <c r="BS72" s="17">
        <v>0</v>
      </c>
      <c r="BT72" s="17">
        <v>0</v>
      </c>
      <c r="BU72" s="17">
        <v>0</v>
      </c>
      <c r="BV72" s="17">
        <v>0</v>
      </c>
      <c r="BW72" s="17">
        <v>0</v>
      </c>
      <c r="BX72" s="17">
        <v>0</v>
      </c>
      <c r="BY72" s="17">
        <v>0</v>
      </c>
      <c r="BZ72" s="17">
        <v>0</v>
      </c>
      <c r="CA72" s="17">
        <v>0</v>
      </c>
      <c r="CB72" s="17">
        <v>0</v>
      </c>
      <c r="CC72" s="17">
        <v>0</v>
      </c>
      <c r="CD72" s="17">
        <v>0</v>
      </c>
      <c r="CE72" s="17">
        <v>0</v>
      </c>
      <c r="CF72" s="17">
        <v>0</v>
      </c>
      <c r="CG72" s="17">
        <v>0</v>
      </c>
      <c r="CH72" s="17">
        <v>0</v>
      </c>
      <c r="CI72" s="17">
        <v>0</v>
      </c>
      <c r="CJ72" s="17">
        <v>0</v>
      </c>
      <c r="CK72" s="18">
        <v>0</v>
      </c>
    </row>
    <row r="73" spans="1:89">
      <c r="A73" s="5" t="s">
        <v>40</v>
      </c>
      <c r="B73" s="44" t="s">
        <v>52</v>
      </c>
      <c r="C73" s="6" t="s">
        <v>66</v>
      </c>
      <c r="D73" s="5">
        <v>58</v>
      </c>
      <c r="E73" s="31">
        <v>3.3384938228132946E-2</v>
      </c>
      <c r="F73" s="38">
        <f t="shared" si="2"/>
        <v>0</v>
      </c>
      <c r="J73" s="44">
        <v>58</v>
      </c>
      <c r="K73" s="73">
        <v>4.2105499999999996</v>
      </c>
      <c r="L73" s="17">
        <f t="shared" si="0"/>
        <v>17.728731302499995</v>
      </c>
      <c r="M73" s="52">
        <f t="shared" si="3"/>
        <v>0</v>
      </c>
      <c r="N73" s="18">
        <f t="shared" si="1"/>
        <v>0</v>
      </c>
      <c r="R73" s="60">
        <v>0</v>
      </c>
      <c r="S73" s="16">
        <v>13</v>
      </c>
      <c r="T73" s="17">
        <v>8</v>
      </c>
      <c r="U73" s="18">
        <v>0.25</v>
      </c>
      <c r="W73" s="16">
        <v>0</v>
      </c>
      <c r="X73" s="17">
        <v>0</v>
      </c>
      <c r="Y73" s="17">
        <v>0</v>
      </c>
      <c r="Z73" s="17">
        <v>0</v>
      </c>
      <c r="AA73" s="17">
        <v>0</v>
      </c>
      <c r="AB73" s="17">
        <v>0</v>
      </c>
      <c r="AC73" s="17">
        <v>1</v>
      </c>
      <c r="AD73" s="17">
        <v>0</v>
      </c>
      <c r="AE73" s="17">
        <v>0</v>
      </c>
      <c r="AF73" s="17">
        <v>0</v>
      </c>
      <c r="AG73" s="18">
        <v>0</v>
      </c>
      <c r="AI73" s="16">
        <v>0</v>
      </c>
      <c r="AJ73" s="17">
        <v>0</v>
      </c>
      <c r="AK73" s="17">
        <v>0</v>
      </c>
      <c r="AL73" s="17">
        <v>0</v>
      </c>
      <c r="AM73" s="17">
        <v>0</v>
      </c>
      <c r="AN73" s="17">
        <v>0</v>
      </c>
      <c r="AO73" s="17">
        <v>1</v>
      </c>
      <c r="AP73" s="17">
        <v>0</v>
      </c>
      <c r="AQ73" s="17">
        <v>0</v>
      </c>
      <c r="AR73" s="17">
        <v>0</v>
      </c>
      <c r="AS73" s="17">
        <v>0</v>
      </c>
      <c r="AT73" s="17">
        <v>0</v>
      </c>
      <c r="AU73" s="17">
        <v>0</v>
      </c>
      <c r="AV73" s="17">
        <v>0</v>
      </c>
      <c r="AW73" s="17">
        <v>0</v>
      </c>
      <c r="AX73" s="17">
        <v>0</v>
      </c>
      <c r="AY73" s="17">
        <v>0</v>
      </c>
      <c r="AZ73" s="17">
        <v>4.2105499999999996</v>
      </c>
      <c r="BA73" s="17">
        <v>0</v>
      </c>
      <c r="BB73" s="17">
        <v>0</v>
      </c>
      <c r="BC73" s="17">
        <v>0</v>
      </c>
      <c r="BD73" s="17">
        <v>0</v>
      </c>
      <c r="BE73" s="17">
        <v>0</v>
      </c>
      <c r="BF73" s="17">
        <v>0</v>
      </c>
      <c r="BG73" s="17">
        <v>0</v>
      </c>
      <c r="BH73" s="17">
        <v>0</v>
      </c>
      <c r="BI73" s="17">
        <v>0</v>
      </c>
      <c r="BJ73" s="17">
        <v>0</v>
      </c>
      <c r="BK73" s="17">
        <v>17.728731302499995</v>
      </c>
      <c r="BL73" s="17">
        <v>0</v>
      </c>
      <c r="BM73" s="17">
        <v>0</v>
      </c>
      <c r="BN73" s="17">
        <v>0</v>
      </c>
      <c r="BO73" s="17">
        <v>0</v>
      </c>
      <c r="BP73" s="17">
        <v>0</v>
      </c>
      <c r="BQ73" s="17">
        <v>0</v>
      </c>
      <c r="BR73" s="17">
        <v>0</v>
      </c>
      <c r="BS73" s="17">
        <v>0</v>
      </c>
      <c r="BT73" s="17">
        <v>0</v>
      </c>
      <c r="BU73" s="17">
        <v>0</v>
      </c>
      <c r="BV73" s="17">
        <v>0</v>
      </c>
      <c r="BW73" s="17">
        <v>0</v>
      </c>
      <c r="BX73" s="17">
        <v>0</v>
      </c>
      <c r="BY73" s="17">
        <v>0</v>
      </c>
      <c r="BZ73" s="17">
        <v>0</v>
      </c>
      <c r="CA73" s="17">
        <v>0</v>
      </c>
      <c r="CB73" s="17">
        <v>0</v>
      </c>
      <c r="CC73" s="17">
        <v>0</v>
      </c>
      <c r="CD73" s="17">
        <v>0</v>
      </c>
      <c r="CE73" s="17">
        <v>0</v>
      </c>
      <c r="CF73" s="17">
        <v>0</v>
      </c>
      <c r="CG73" s="17">
        <v>0</v>
      </c>
      <c r="CH73" s="17">
        <v>0</v>
      </c>
      <c r="CI73" s="17">
        <v>0</v>
      </c>
      <c r="CJ73" s="17">
        <v>0</v>
      </c>
      <c r="CK73" s="18">
        <v>0</v>
      </c>
    </row>
    <row r="74" spans="1:89">
      <c r="A74" s="5" t="s">
        <v>40</v>
      </c>
      <c r="B74" s="44" t="s">
        <v>52</v>
      </c>
      <c r="C74" s="6" t="s">
        <v>68</v>
      </c>
      <c r="D74" s="5">
        <v>59</v>
      </c>
      <c r="E74" s="31">
        <v>7.4407874572227917E-2</v>
      </c>
      <c r="F74" s="38">
        <f t="shared" si="2"/>
        <v>0</v>
      </c>
      <c r="J74" s="44">
        <v>59</v>
      </c>
      <c r="K74" s="73">
        <v>1.0760099999999999</v>
      </c>
      <c r="L74" s="17">
        <f t="shared" si="0"/>
        <v>1.1577975200999997</v>
      </c>
      <c r="M74" s="52">
        <f t="shared" si="3"/>
        <v>0</v>
      </c>
      <c r="N74" s="18">
        <f t="shared" si="1"/>
        <v>0</v>
      </c>
      <c r="R74" s="60">
        <v>2.15950687440973E-2</v>
      </c>
      <c r="S74" s="16">
        <v>13</v>
      </c>
      <c r="T74" s="17">
        <v>10</v>
      </c>
      <c r="U74" s="18">
        <v>0.25</v>
      </c>
      <c r="W74" s="16">
        <v>0</v>
      </c>
      <c r="X74" s="17">
        <v>0</v>
      </c>
      <c r="Y74" s="17">
        <v>0</v>
      </c>
      <c r="Z74" s="17">
        <v>0</v>
      </c>
      <c r="AA74" s="17">
        <v>0</v>
      </c>
      <c r="AB74" s="17">
        <v>0</v>
      </c>
      <c r="AC74" s="17">
        <v>1</v>
      </c>
      <c r="AD74" s="17">
        <v>0</v>
      </c>
      <c r="AE74" s="17">
        <v>0</v>
      </c>
      <c r="AF74" s="17">
        <v>0</v>
      </c>
      <c r="AG74" s="18">
        <v>0</v>
      </c>
      <c r="AI74" s="16">
        <v>0</v>
      </c>
      <c r="AJ74" s="17">
        <v>0</v>
      </c>
      <c r="AK74" s="17">
        <v>0</v>
      </c>
      <c r="AL74" s="17">
        <v>0</v>
      </c>
      <c r="AM74" s="17">
        <v>0</v>
      </c>
      <c r="AN74" s="17">
        <v>0</v>
      </c>
      <c r="AO74" s="17">
        <v>1</v>
      </c>
      <c r="AP74" s="17">
        <v>0</v>
      </c>
      <c r="AQ74" s="17">
        <v>0</v>
      </c>
      <c r="AR74" s="17">
        <v>0</v>
      </c>
      <c r="AS74" s="17">
        <v>0</v>
      </c>
      <c r="AT74" s="17">
        <v>0</v>
      </c>
      <c r="AU74" s="17">
        <v>0</v>
      </c>
      <c r="AV74" s="17">
        <v>0</v>
      </c>
      <c r="AW74" s="17">
        <v>0</v>
      </c>
      <c r="AX74" s="17">
        <v>0</v>
      </c>
      <c r="AY74" s="17">
        <v>0</v>
      </c>
      <c r="AZ74" s="17">
        <v>1.0760099999999999</v>
      </c>
      <c r="BA74" s="17">
        <v>0</v>
      </c>
      <c r="BB74" s="17">
        <v>0</v>
      </c>
      <c r="BC74" s="17">
        <v>0</v>
      </c>
      <c r="BD74" s="17">
        <v>0</v>
      </c>
      <c r="BE74" s="17">
        <v>0</v>
      </c>
      <c r="BF74" s="17">
        <v>0</v>
      </c>
      <c r="BG74" s="17">
        <v>0</v>
      </c>
      <c r="BH74" s="17">
        <v>0</v>
      </c>
      <c r="BI74" s="17">
        <v>0</v>
      </c>
      <c r="BJ74" s="17">
        <v>0</v>
      </c>
      <c r="BK74" s="17">
        <v>1.1577975200999997</v>
      </c>
      <c r="BL74" s="17">
        <v>0</v>
      </c>
      <c r="BM74" s="17">
        <v>0</v>
      </c>
      <c r="BN74" s="17">
        <v>0</v>
      </c>
      <c r="BO74" s="17">
        <v>0</v>
      </c>
      <c r="BP74" s="17">
        <v>0</v>
      </c>
      <c r="BQ74" s="17">
        <v>0</v>
      </c>
      <c r="BR74" s="17">
        <v>0</v>
      </c>
      <c r="BS74" s="17">
        <v>0</v>
      </c>
      <c r="BT74" s="17">
        <v>0</v>
      </c>
      <c r="BU74" s="17">
        <v>0</v>
      </c>
      <c r="BV74" s="17">
        <v>0</v>
      </c>
      <c r="BW74" s="17">
        <v>0</v>
      </c>
      <c r="BX74" s="17">
        <v>0</v>
      </c>
      <c r="BY74" s="17">
        <v>0</v>
      </c>
      <c r="BZ74" s="17">
        <v>0</v>
      </c>
      <c r="CA74" s="17">
        <v>0</v>
      </c>
      <c r="CB74" s="17">
        <v>0</v>
      </c>
      <c r="CC74" s="17">
        <v>0</v>
      </c>
      <c r="CD74" s="17">
        <v>0</v>
      </c>
      <c r="CE74" s="17">
        <v>0</v>
      </c>
      <c r="CF74" s="17">
        <v>0</v>
      </c>
      <c r="CG74" s="17">
        <v>0</v>
      </c>
      <c r="CH74" s="17">
        <v>0</v>
      </c>
      <c r="CI74" s="17">
        <v>0</v>
      </c>
      <c r="CJ74" s="17">
        <v>0</v>
      </c>
      <c r="CK74" s="18">
        <v>0</v>
      </c>
    </row>
    <row r="75" spans="1:89">
      <c r="A75" s="5" t="s">
        <v>40</v>
      </c>
      <c r="B75" s="44" t="s">
        <v>74</v>
      </c>
      <c r="C75" s="6" t="s">
        <v>75</v>
      </c>
      <c r="D75" s="5">
        <v>60</v>
      </c>
      <c r="E75" s="31">
        <v>0.14218766166553423</v>
      </c>
      <c r="F75" s="38">
        <f t="shared" si="2"/>
        <v>0</v>
      </c>
      <c r="J75" s="44">
        <v>60</v>
      </c>
      <c r="K75" s="73">
        <v>-3.3330600000000001</v>
      </c>
      <c r="L75" s="17">
        <f t="shared" si="0"/>
        <v>11.109288963600001</v>
      </c>
      <c r="M75" s="52">
        <f t="shared" si="3"/>
        <v>0</v>
      </c>
      <c r="N75" s="18">
        <f t="shared" si="1"/>
        <v>0</v>
      </c>
      <c r="R75" s="60">
        <v>1.8773669748460599E-2</v>
      </c>
      <c r="S75" s="16">
        <v>13</v>
      </c>
      <c r="T75" s="17">
        <v>14</v>
      </c>
      <c r="U75" s="18">
        <v>0.25</v>
      </c>
      <c r="W75" s="16">
        <v>0</v>
      </c>
      <c r="X75" s="17">
        <v>0</v>
      </c>
      <c r="Y75" s="17">
        <v>0</v>
      </c>
      <c r="Z75" s="17">
        <v>0</v>
      </c>
      <c r="AA75" s="17">
        <v>0</v>
      </c>
      <c r="AB75" s="17">
        <v>0</v>
      </c>
      <c r="AC75" s="17">
        <v>0</v>
      </c>
      <c r="AD75" s="17">
        <v>1</v>
      </c>
      <c r="AE75" s="17">
        <v>0</v>
      </c>
      <c r="AF75" s="17">
        <v>0</v>
      </c>
      <c r="AG75" s="18">
        <v>0</v>
      </c>
      <c r="AI75" s="16">
        <v>0</v>
      </c>
      <c r="AJ75" s="17">
        <v>0</v>
      </c>
      <c r="AK75" s="17">
        <v>0</v>
      </c>
      <c r="AL75" s="17">
        <v>0</v>
      </c>
      <c r="AM75" s="17">
        <v>0</v>
      </c>
      <c r="AN75" s="17">
        <v>0</v>
      </c>
      <c r="AO75" s="17">
        <v>0</v>
      </c>
      <c r="AP75" s="17">
        <v>1</v>
      </c>
      <c r="AQ75" s="17">
        <v>0</v>
      </c>
      <c r="AR75" s="17">
        <v>0</v>
      </c>
      <c r="AS75" s="17">
        <v>0</v>
      </c>
      <c r="AT75" s="17">
        <v>0</v>
      </c>
      <c r="AU75" s="17">
        <v>0</v>
      </c>
      <c r="AV75" s="17">
        <v>0</v>
      </c>
      <c r="AW75" s="17">
        <v>0</v>
      </c>
      <c r="AX75" s="17">
        <v>0</v>
      </c>
      <c r="AY75" s="17">
        <v>0</v>
      </c>
      <c r="AZ75" s="17">
        <v>0</v>
      </c>
      <c r="BA75" s="17">
        <v>-3.3330600000000001</v>
      </c>
      <c r="BB75" s="17">
        <v>0</v>
      </c>
      <c r="BC75" s="17">
        <v>0</v>
      </c>
      <c r="BD75" s="17">
        <v>0</v>
      </c>
      <c r="BE75" s="17">
        <v>0</v>
      </c>
      <c r="BF75" s="17">
        <v>0</v>
      </c>
      <c r="BG75" s="17">
        <v>0</v>
      </c>
      <c r="BH75" s="17">
        <v>0</v>
      </c>
      <c r="BI75" s="17">
        <v>0</v>
      </c>
      <c r="BJ75" s="17">
        <v>0</v>
      </c>
      <c r="BK75" s="17">
        <v>0</v>
      </c>
      <c r="BL75" s="17">
        <v>11.109288963600001</v>
      </c>
      <c r="BM75" s="17">
        <v>0</v>
      </c>
      <c r="BN75" s="17">
        <v>0</v>
      </c>
      <c r="BO75" s="17">
        <v>0</v>
      </c>
      <c r="BP75" s="17">
        <v>0</v>
      </c>
      <c r="BQ75" s="17">
        <v>0</v>
      </c>
      <c r="BR75" s="17">
        <v>0</v>
      </c>
      <c r="BS75" s="17">
        <v>0</v>
      </c>
      <c r="BT75" s="17">
        <v>0</v>
      </c>
      <c r="BU75" s="17">
        <v>0</v>
      </c>
      <c r="BV75" s="17">
        <v>0</v>
      </c>
      <c r="BW75" s="17">
        <v>0</v>
      </c>
      <c r="BX75" s="17">
        <v>0</v>
      </c>
      <c r="BY75" s="17">
        <v>0</v>
      </c>
      <c r="BZ75" s="17">
        <v>0</v>
      </c>
      <c r="CA75" s="17">
        <v>0</v>
      </c>
      <c r="CB75" s="17">
        <v>0</v>
      </c>
      <c r="CC75" s="17">
        <v>0</v>
      </c>
      <c r="CD75" s="17">
        <v>0</v>
      </c>
      <c r="CE75" s="17">
        <v>0</v>
      </c>
      <c r="CF75" s="17">
        <v>0</v>
      </c>
      <c r="CG75" s="17">
        <v>0</v>
      </c>
      <c r="CH75" s="17">
        <v>0</v>
      </c>
      <c r="CI75" s="17">
        <v>0</v>
      </c>
      <c r="CJ75" s="17">
        <v>0</v>
      </c>
      <c r="CK75" s="18">
        <v>0</v>
      </c>
    </row>
    <row r="76" spans="1:89">
      <c r="A76" s="5" t="s">
        <v>40</v>
      </c>
      <c r="B76" s="44" t="s">
        <v>74</v>
      </c>
      <c r="C76" s="6" t="s">
        <v>76</v>
      </c>
      <c r="D76" s="5">
        <v>61</v>
      </c>
      <c r="E76" s="31">
        <v>8.185878860819952E-2</v>
      </c>
      <c r="F76" s="38">
        <f t="shared" si="2"/>
        <v>0</v>
      </c>
      <c r="J76" s="44">
        <v>61</v>
      </c>
      <c r="K76" s="73">
        <v>-0.21083299999999999</v>
      </c>
      <c r="L76" s="17">
        <f t="shared" si="0"/>
        <v>4.4450553888999995E-2</v>
      </c>
      <c r="M76" s="52">
        <f t="shared" si="3"/>
        <v>0</v>
      </c>
      <c r="N76" s="18">
        <f t="shared" si="1"/>
        <v>0</v>
      </c>
      <c r="R76" s="60">
        <v>0</v>
      </c>
      <c r="S76" s="16">
        <v>14</v>
      </c>
      <c r="T76" s="17">
        <v>10</v>
      </c>
      <c r="U76" s="18">
        <v>0.5</v>
      </c>
      <c r="W76" s="16">
        <v>0</v>
      </c>
      <c r="X76" s="17">
        <v>0</v>
      </c>
      <c r="Y76" s="17">
        <v>0</v>
      </c>
      <c r="Z76" s="17">
        <v>0</v>
      </c>
      <c r="AA76" s="17">
        <v>0</v>
      </c>
      <c r="AB76" s="17">
        <v>0</v>
      </c>
      <c r="AC76" s="17">
        <v>0</v>
      </c>
      <c r="AD76" s="17">
        <v>1</v>
      </c>
      <c r="AE76" s="17">
        <v>0</v>
      </c>
      <c r="AF76" s="17">
        <v>0</v>
      </c>
      <c r="AG76" s="18">
        <v>0</v>
      </c>
      <c r="AI76" s="16">
        <v>0</v>
      </c>
      <c r="AJ76" s="17">
        <v>0</v>
      </c>
      <c r="AK76" s="17">
        <v>0</v>
      </c>
      <c r="AL76" s="17">
        <v>0</v>
      </c>
      <c r="AM76" s="17">
        <v>0</v>
      </c>
      <c r="AN76" s="17">
        <v>0</v>
      </c>
      <c r="AO76" s="17">
        <v>0</v>
      </c>
      <c r="AP76" s="17">
        <v>1</v>
      </c>
      <c r="AQ76" s="17">
        <v>0</v>
      </c>
      <c r="AR76" s="17">
        <v>0</v>
      </c>
      <c r="AS76" s="17">
        <v>0</v>
      </c>
      <c r="AT76" s="17">
        <v>0</v>
      </c>
      <c r="AU76" s="17">
        <v>0</v>
      </c>
      <c r="AV76" s="17">
        <v>0</v>
      </c>
      <c r="AW76" s="17">
        <v>0</v>
      </c>
      <c r="AX76" s="17">
        <v>0</v>
      </c>
      <c r="AY76" s="17">
        <v>0</v>
      </c>
      <c r="AZ76" s="17">
        <v>0</v>
      </c>
      <c r="BA76" s="17">
        <v>-0.21083299999999999</v>
      </c>
      <c r="BB76" s="17">
        <v>0</v>
      </c>
      <c r="BC76" s="17">
        <v>0</v>
      </c>
      <c r="BD76" s="17">
        <v>0</v>
      </c>
      <c r="BE76" s="17">
        <v>0</v>
      </c>
      <c r="BF76" s="17">
        <v>0</v>
      </c>
      <c r="BG76" s="17">
        <v>0</v>
      </c>
      <c r="BH76" s="17">
        <v>0</v>
      </c>
      <c r="BI76" s="17">
        <v>0</v>
      </c>
      <c r="BJ76" s="17">
        <v>0</v>
      </c>
      <c r="BK76" s="17">
        <v>0</v>
      </c>
      <c r="BL76" s="17">
        <v>4.4450553888999995E-2</v>
      </c>
      <c r="BM76" s="17">
        <v>0</v>
      </c>
      <c r="BN76" s="17">
        <v>0</v>
      </c>
      <c r="BO76" s="17">
        <v>0</v>
      </c>
      <c r="BP76" s="17">
        <v>0</v>
      </c>
      <c r="BQ76" s="17">
        <v>0</v>
      </c>
      <c r="BR76" s="17">
        <v>0</v>
      </c>
      <c r="BS76" s="17">
        <v>0</v>
      </c>
      <c r="BT76" s="17">
        <v>0</v>
      </c>
      <c r="BU76" s="17">
        <v>0</v>
      </c>
      <c r="BV76" s="17">
        <v>0</v>
      </c>
      <c r="BW76" s="17">
        <v>0</v>
      </c>
      <c r="BX76" s="17">
        <v>0</v>
      </c>
      <c r="BY76" s="17">
        <v>0</v>
      </c>
      <c r="BZ76" s="17">
        <v>0</v>
      </c>
      <c r="CA76" s="17">
        <v>0</v>
      </c>
      <c r="CB76" s="17">
        <v>0</v>
      </c>
      <c r="CC76" s="17">
        <v>0</v>
      </c>
      <c r="CD76" s="17">
        <v>0</v>
      </c>
      <c r="CE76" s="17">
        <v>0</v>
      </c>
      <c r="CF76" s="17">
        <v>0</v>
      </c>
      <c r="CG76" s="17">
        <v>0</v>
      </c>
      <c r="CH76" s="17">
        <v>0</v>
      </c>
      <c r="CI76" s="17">
        <v>0</v>
      </c>
      <c r="CJ76" s="17">
        <v>0</v>
      </c>
      <c r="CK76" s="18">
        <v>0</v>
      </c>
    </row>
    <row r="77" spans="1:89">
      <c r="A77" s="5" t="s">
        <v>40</v>
      </c>
      <c r="B77" s="44" t="s">
        <v>74</v>
      </c>
      <c r="C77" s="6" t="s">
        <v>77</v>
      </c>
      <c r="D77" s="5">
        <v>62</v>
      </c>
      <c r="E77" s="31">
        <v>0.1010603123894749</v>
      </c>
      <c r="F77" s="38">
        <f t="shared" si="2"/>
        <v>0</v>
      </c>
      <c r="J77" s="44">
        <v>62</v>
      </c>
      <c r="K77" s="73">
        <v>-1.8847400000000001</v>
      </c>
      <c r="L77" s="17">
        <f t="shared" si="0"/>
        <v>3.5522448676000002</v>
      </c>
      <c r="M77" s="52">
        <f t="shared" si="3"/>
        <v>0</v>
      </c>
      <c r="N77" s="18">
        <f t="shared" si="1"/>
        <v>0</v>
      </c>
      <c r="R77" s="60">
        <v>0</v>
      </c>
      <c r="S77" s="16">
        <v>14</v>
      </c>
      <c r="T77" s="17">
        <v>13</v>
      </c>
      <c r="U77" s="18">
        <v>0.5</v>
      </c>
      <c r="W77" s="16">
        <v>0</v>
      </c>
      <c r="X77" s="17">
        <v>0</v>
      </c>
      <c r="Y77" s="17">
        <v>0</v>
      </c>
      <c r="Z77" s="17">
        <v>0</v>
      </c>
      <c r="AA77" s="17">
        <v>0</v>
      </c>
      <c r="AB77" s="17">
        <v>0</v>
      </c>
      <c r="AC77" s="17">
        <v>0</v>
      </c>
      <c r="AD77" s="17">
        <v>1</v>
      </c>
      <c r="AE77" s="17">
        <v>0</v>
      </c>
      <c r="AF77" s="17">
        <v>0</v>
      </c>
      <c r="AG77" s="18">
        <v>0</v>
      </c>
      <c r="AI77" s="16">
        <v>0</v>
      </c>
      <c r="AJ77" s="17">
        <v>0</v>
      </c>
      <c r="AK77" s="17">
        <v>0</v>
      </c>
      <c r="AL77" s="17">
        <v>0</v>
      </c>
      <c r="AM77" s="17">
        <v>0</v>
      </c>
      <c r="AN77" s="17">
        <v>0</v>
      </c>
      <c r="AO77" s="17">
        <v>0</v>
      </c>
      <c r="AP77" s="17">
        <v>1</v>
      </c>
      <c r="AQ77" s="17">
        <v>0</v>
      </c>
      <c r="AR77" s="17">
        <v>0</v>
      </c>
      <c r="AS77" s="17">
        <v>0</v>
      </c>
      <c r="AT77" s="17">
        <v>0</v>
      </c>
      <c r="AU77" s="17">
        <v>0</v>
      </c>
      <c r="AV77" s="17">
        <v>0</v>
      </c>
      <c r="AW77" s="17">
        <v>0</v>
      </c>
      <c r="AX77" s="17">
        <v>0</v>
      </c>
      <c r="AY77" s="17">
        <v>0</v>
      </c>
      <c r="AZ77" s="17">
        <v>0</v>
      </c>
      <c r="BA77" s="17">
        <v>-1.8847400000000001</v>
      </c>
      <c r="BB77" s="17">
        <v>0</v>
      </c>
      <c r="BC77" s="17">
        <v>0</v>
      </c>
      <c r="BD77" s="17">
        <v>0</v>
      </c>
      <c r="BE77" s="17">
        <v>0</v>
      </c>
      <c r="BF77" s="17">
        <v>0</v>
      </c>
      <c r="BG77" s="17">
        <v>0</v>
      </c>
      <c r="BH77" s="17">
        <v>0</v>
      </c>
      <c r="BI77" s="17">
        <v>0</v>
      </c>
      <c r="BJ77" s="17">
        <v>0</v>
      </c>
      <c r="BK77" s="17">
        <v>0</v>
      </c>
      <c r="BL77" s="17">
        <v>3.5522448676000002</v>
      </c>
      <c r="BM77" s="17">
        <v>0</v>
      </c>
      <c r="BN77" s="17">
        <v>0</v>
      </c>
      <c r="BO77" s="17">
        <v>0</v>
      </c>
      <c r="BP77" s="17">
        <v>0</v>
      </c>
      <c r="BQ77" s="17">
        <v>0</v>
      </c>
      <c r="BR77" s="17">
        <v>0</v>
      </c>
      <c r="BS77" s="17">
        <v>0</v>
      </c>
      <c r="BT77" s="17">
        <v>0</v>
      </c>
      <c r="BU77" s="17">
        <v>0</v>
      </c>
      <c r="BV77" s="17">
        <v>0</v>
      </c>
      <c r="BW77" s="17">
        <v>0</v>
      </c>
      <c r="BX77" s="17">
        <v>0</v>
      </c>
      <c r="BY77" s="17">
        <v>0</v>
      </c>
      <c r="BZ77" s="17">
        <v>0</v>
      </c>
      <c r="CA77" s="17">
        <v>0</v>
      </c>
      <c r="CB77" s="17">
        <v>0</v>
      </c>
      <c r="CC77" s="17">
        <v>0</v>
      </c>
      <c r="CD77" s="17">
        <v>0</v>
      </c>
      <c r="CE77" s="17">
        <v>0</v>
      </c>
      <c r="CF77" s="17">
        <v>0</v>
      </c>
      <c r="CG77" s="17">
        <v>0</v>
      </c>
      <c r="CH77" s="17">
        <v>0</v>
      </c>
      <c r="CI77" s="17">
        <v>0</v>
      </c>
      <c r="CJ77" s="17">
        <v>0</v>
      </c>
      <c r="CK77" s="18">
        <v>0</v>
      </c>
    </row>
    <row r="78" spans="1:89">
      <c r="A78" s="5" t="s">
        <v>40</v>
      </c>
      <c r="B78" s="44" t="s">
        <v>74</v>
      </c>
      <c r="C78" s="6" t="s">
        <v>78</v>
      </c>
      <c r="D78" s="5">
        <v>63</v>
      </c>
      <c r="E78" s="31">
        <v>0.10539946758147044</v>
      </c>
      <c r="F78" s="38">
        <f t="shared" si="2"/>
        <v>0</v>
      </c>
      <c r="J78" s="44">
        <v>63</v>
      </c>
      <c r="K78" s="73">
        <v>-1.09721</v>
      </c>
      <c r="L78" s="17">
        <f t="shared" si="0"/>
        <v>1.2038697841000001</v>
      </c>
      <c r="M78" s="52">
        <f t="shared" si="3"/>
        <v>0</v>
      </c>
      <c r="N78" s="18">
        <f t="shared" si="1"/>
        <v>0</v>
      </c>
      <c r="R78" s="60">
        <v>1.14507178683243E-2</v>
      </c>
      <c r="S78" s="16">
        <v>15</v>
      </c>
      <c r="T78" s="17">
        <v>19</v>
      </c>
      <c r="U78" s="18">
        <v>0.2</v>
      </c>
      <c r="W78" s="16">
        <v>0</v>
      </c>
      <c r="X78" s="17">
        <v>0</v>
      </c>
      <c r="Y78" s="17">
        <v>0</v>
      </c>
      <c r="Z78" s="17">
        <v>0</v>
      </c>
      <c r="AA78" s="17">
        <v>0</v>
      </c>
      <c r="AB78" s="17">
        <v>0</v>
      </c>
      <c r="AC78" s="17">
        <v>0</v>
      </c>
      <c r="AD78" s="17">
        <v>1</v>
      </c>
      <c r="AE78" s="17">
        <v>0</v>
      </c>
      <c r="AF78" s="17">
        <v>0</v>
      </c>
      <c r="AG78" s="18">
        <v>0</v>
      </c>
      <c r="AI78" s="16">
        <v>0</v>
      </c>
      <c r="AJ78" s="17">
        <v>0</v>
      </c>
      <c r="AK78" s="17">
        <v>0</v>
      </c>
      <c r="AL78" s="17">
        <v>0</v>
      </c>
      <c r="AM78" s="17">
        <v>0</v>
      </c>
      <c r="AN78" s="17">
        <v>0</v>
      </c>
      <c r="AO78" s="17">
        <v>0</v>
      </c>
      <c r="AP78" s="17">
        <v>1</v>
      </c>
      <c r="AQ78" s="17">
        <v>0</v>
      </c>
      <c r="AR78" s="17">
        <v>0</v>
      </c>
      <c r="AS78" s="17">
        <v>0</v>
      </c>
      <c r="AT78" s="17">
        <v>0</v>
      </c>
      <c r="AU78" s="17">
        <v>0</v>
      </c>
      <c r="AV78" s="17">
        <v>0</v>
      </c>
      <c r="AW78" s="17">
        <v>0</v>
      </c>
      <c r="AX78" s="17">
        <v>0</v>
      </c>
      <c r="AY78" s="17">
        <v>0</v>
      </c>
      <c r="AZ78" s="17">
        <v>0</v>
      </c>
      <c r="BA78" s="17">
        <v>-1.09721</v>
      </c>
      <c r="BB78" s="17">
        <v>0</v>
      </c>
      <c r="BC78" s="17">
        <v>0</v>
      </c>
      <c r="BD78" s="17">
        <v>0</v>
      </c>
      <c r="BE78" s="17">
        <v>0</v>
      </c>
      <c r="BF78" s="17">
        <v>0</v>
      </c>
      <c r="BG78" s="17">
        <v>0</v>
      </c>
      <c r="BH78" s="17">
        <v>0</v>
      </c>
      <c r="BI78" s="17">
        <v>0</v>
      </c>
      <c r="BJ78" s="17">
        <v>0</v>
      </c>
      <c r="BK78" s="17">
        <v>0</v>
      </c>
      <c r="BL78" s="17">
        <v>1.2038697841000001</v>
      </c>
      <c r="BM78" s="17">
        <v>0</v>
      </c>
      <c r="BN78" s="17">
        <v>0</v>
      </c>
      <c r="BO78" s="17">
        <v>0</v>
      </c>
      <c r="BP78" s="17">
        <v>0</v>
      </c>
      <c r="BQ78" s="17">
        <v>0</v>
      </c>
      <c r="BR78" s="17">
        <v>0</v>
      </c>
      <c r="BS78" s="17">
        <v>0</v>
      </c>
      <c r="BT78" s="17">
        <v>0</v>
      </c>
      <c r="BU78" s="17">
        <v>0</v>
      </c>
      <c r="BV78" s="17">
        <v>0</v>
      </c>
      <c r="BW78" s="17">
        <v>0</v>
      </c>
      <c r="BX78" s="17">
        <v>0</v>
      </c>
      <c r="BY78" s="17">
        <v>0</v>
      </c>
      <c r="BZ78" s="17">
        <v>0</v>
      </c>
      <c r="CA78" s="17">
        <v>0</v>
      </c>
      <c r="CB78" s="17">
        <v>0</v>
      </c>
      <c r="CC78" s="17">
        <v>0</v>
      </c>
      <c r="CD78" s="17">
        <v>0</v>
      </c>
      <c r="CE78" s="17">
        <v>0</v>
      </c>
      <c r="CF78" s="17">
        <v>0</v>
      </c>
      <c r="CG78" s="17">
        <v>0</v>
      </c>
      <c r="CH78" s="17">
        <v>0</v>
      </c>
      <c r="CI78" s="17">
        <v>0</v>
      </c>
      <c r="CJ78" s="17">
        <v>0</v>
      </c>
      <c r="CK78" s="18">
        <v>0</v>
      </c>
    </row>
    <row r="79" spans="1:89">
      <c r="A79" s="5" t="s">
        <v>7</v>
      </c>
      <c r="B79" s="44" t="s">
        <v>79</v>
      </c>
      <c r="C79" s="6" t="s">
        <v>80</v>
      </c>
      <c r="D79" s="5">
        <v>64</v>
      </c>
      <c r="E79" s="31">
        <v>0.11369878910051</v>
      </c>
      <c r="F79" s="38">
        <f t="shared" si="2"/>
        <v>0</v>
      </c>
      <c r="J79" s="44">
        <v>64</v>
      </c>
      <c r="K79" s="73">
        <v>-1.2611600000000001</v>
      </c>
      <c r="L79" s="17">
        <f t="shared" si="0"/>
        <v>1.5905245456000001</v>
      </c>
      <c r="M79" s="52">
        <f t="shared" si="3"/>
        <v>0</v>
      </c>
      <c r="N79" s="18">
        <f t="shared" si="1"/>
        <v>0</v>
      </c>
      <c r="R79" s="60">
        <v>0</v>
      </c>
      <c r="S79" s="16">
        <v>15</v>
      </c>
      <c r="T79" s="17">
        <v>20</v>
      </c>
      <c r="U79" s="18">
        <v>0.2</v>
      </c>
      <c r="W79" s="16">
        <v>0</v>
      </c>
      <c r="X79" s="17">
        <v>0</v>
      </c>
      <c r="Y79" s="17">
        <v>0</v>
      </c>
      <c r="Z79" s="17">
        <v>0</v>
      </c>
      <c r="AA79" s="17">
        <v>0</v>
      </c>
      <c r="AB79" s="17">
        <v>0</v>
      </c>
      <c r="AC79" s="17">
        <v>0</v>
      </c>
      <c r="AD79" s="17">
        <v>0</v>
      </c>
      <c r="AE79" s="17">
        <v>1</v>
      </c>
      <c r="AF79" s="17">
        <v>0</v>
      </c>
      <c r="AG79" s="18">
        <v>0</v>
      </c>
      <c r="AI79" s="16">
        <v>0</v>
      </c>
      <c r="AJ79" s="17">
        <v>0</v>
      </c>
      <c r="AK79" s="17">
        <v>0</v>
      </c>
      <c r="AL79" s="17">
        <v>0</v>
      </c>
      <c r="AM79" s="17">
        <v>0</v>
      </c>
      <c r="AN79" s="17">
        <v>0</v>
      </c>
      <c r="AO79" s="17">
        <v>0</v>
      </c>
      <c r="AP79" s="17">
        <v>0</v>
      </c>
      <c r="AQ79" s="17">
        <v>1</v>
      </c>
      <c r="AR79" s="17">
        <v>0</v>
      </c>
      <c r="AS79" s="17">
        <v>0</v>
      </c>
      <c r="AT79" s="17">
        <v>0</v>
      </c>
      <c r="AU79" s="17">
        <v>0</v>
      </c>
      <c r="AV79" s="17">
        <v>0</v>
      </c>
      <c r="AW79" s="17">
        <v>0</v>
      </c>
      <c r="AX79" s="17">
        <v>0</v>
      </c>
      <c r="AY79" s="17">
        <v>0</v>
      </c>
      <c r="AZ79" s="17">
        <v>0</v>
      </c>
      <c r="BA79" s="17">
        <v>0</v>
      </c>
      <c r="BB79" s="17">
        <v>-1.2611600000000001</v>
      </c>
      <c r="BC79" s="17">
        <v>0</v>
      </c>
      <c r="BD79" s="17">
        <v>0</v>
      </c>
      <c r="BE79" s="17">
        <v>0</v>
      </c>
      <c r="BF79" s="17">
        <v>0</v>
      </c>
      <c r="BG79" s="17">
        <v>0</v>
      </c>
      <c r="BH79" s="17">
        <v>0</v>
      </c>
      <c r="BI79" s="17">
        <v>0</v>
      </c>
      <c r="BJ79" s="17">
        <v>0</v>
      </c>
      <c r="BK79" s="17">
        <v>0</v>
      </c>
      <c r="BL79" s="17">
        <v>0</v>
      </c>
      <c r="BM79" s="17">
        <v>1.5905245456000001</v>
      </c>
      <c r="BN79" s="17">
        <v>0</v>
      </c>
      <c r="BO79" s="17">
        <v>0</v>
      </c>
      <c r="BP79" s="17">
        <v>0</v>
      </c>
      <c r="BQ79" s="17">
        <v>0</v>
      </c>
      <c r="BR79" s="17">
        <v>0</v>
      </c>
      <c r="BS79" s="17">
        <v>0</v>
      </c>
      <c r="BT79" s="17">
        <v>0</v>
      </c>
      <c r="BU79" s="17">
        <v>0</v>
      </c>
      <c r="BV79" s="17">
        <v>0</v>
      </c>
      <c r="BW79" s="17">
        <v>0</v>
      </c>
      <c r="BX79" s="17">
        <v>0</v>
      </c>
      <c r="BY79" s="17">
        <v>0</v>
      </c>
      <c r="BZ79" s="17">
        <v>0</v>
      </c>
      <c r="CA79" s="17">
        <v>0</v>
      </c>
      <c r="CB79" s="17">
        <v>0</v>
      </c>
      <c r="CC79" s="17">
        <v>0</v>
      </c>
      <c r="CD79" s="17">
        <v>0</v>
      </c>
      <c r="CE79" s="17">
        <v>0</v>
      </c>
      <c r="CF79" s="17">
        <v>0</v>
      </c>
      <c r="CG79" s="17">
        <v>0</v>
      </c>
      <c r="CH79" s="17">
        <v>0</v>
      </c>
      <c r="CI79" s="17">
        <v>0</v>
      </c>
      <c r="CJ79" s="17">
        <v>0</v>
      </c>
      <c r="CK79" s="18">
        <v>0</v>
      </c>
    </row>
    <row r="80" spans="1:89">
      <c r="A80" s="5" t="s">
        <v>7</v>
      </c>
      <c r="B80" s="44" t="s">
        <v>79</v>
      </c>
      <c r="C80" s="6" t="s">
        <v>90</v>
      </c>
      <c r="D80" s="5">
        <v>65</v>
      </c>
      <c r="E80" s="31">
        <v>0.10167210236187964</v>
      </c>
      <c r="F80" s="38">
        <f t="shared" si="2"/>
        <v>0</v>
      </c>
      <c r="J80" s="44">
        <v>65</v>
      </c>
      <c r="K80" s="73">
        <v>-3.6074099999999998</v>
      </c>
      <c r="L80" s="17">
        <f t="shared" si="0"/>
        <v>13.013406908099999</v>
      </c>
      <c r="M80" s="52">
        <f t="shared" si="3"/>
        <v>0</v>
      </c>
      <c r="N80" s="18">
        <f t="shared" si="1"/>
        <v>0</v>
      </c>
      <c r="R80" s="60">
        <v>0</v>
      </c>
      <c r="S80" s="16">
        <v>15</v>
      </c>
      <c r="T80" s="17">
        <v>23</v>
      </c>
      <c r="U80" s="18">
        <v>0.2</v>
      </c>
      <c r="W80" s="16">
        <v>0</v>
      </c>
      <c r="X80" s="17">
        <v>0</v>
      </c>
      <c r="Y80" s="17">
        <v>0</v>
      </c>
      <c r="Z80" s="17">
        <v>0</v>
      </c>
      <c r="AA80" s="17">
        <v>0</v>
      </c>
      <c r="AB80" s="17">
        <v>0</v>
      </c>
      <c r="AC80" s="17">
        <v>0</v>
      </c>
      <c r="AD80" s="17">
        <v>0</v>
      </c>
      <c r="AE80" s="17">
        <v>1</v>
      </c>
      <c r="AF80" s="17">
        <v>0</v>
      </c>
      <c r="AG80" s="18">
        <v>0</v>
      </c>
      <c r="AI80" s="16">
        <v>0</v>
      </c>
      <c r="AJ80" s="17">
        <v>0</v>
      </c>
      <c r="AK80" s="17">
        <v>0</v>
      </c>
      <c r="AL80" s="17">
        <v>0</v>
      </c>
      <c r="AM80" s="17">
        <v>0</v>
      </c>
      <c r="AN80" s="17">
        <v>0</v>
      </c>
      <c r="AO80" s="17">
        <v>0</v>
      </c>
      <c r="AP80" s="17">
        <v>0</v>
      </c>
      <c r="AQ80" s="17">
        <v>1</v>
      </c>
      <c r="AR80" s="17">
        <v>0</v>
      </c>
      <c r="AS80" s="17">
        <v>0</v>
      </c>
      <c r="AT80" s="17">
        <v>0</v>
      </c>
      <c r="AU80" s="17">
        <v>0</v>
      </c>
      <c r="AV80" s="17">
        <v>0</v>
      </c>
      <c r="AW80" s="17">
        <v>0</v>
      </c>
      <c r="AX80" s="17">
        <v>0</v>
      </c>
      <c r="AY80" s="17">
        <v>0</v>
      </c>
      <c r="AZ80" s="17">
        <v>0</v>
      </c>
      <c r="BA80" s="17">
        <v>0</v>
      </c>
      <c r="BB80" s="17">
        <v>-3.6074099999999998</v>
      </c>
      <c r="BC80" s="17">
        <v>0</v>
      </c>
      <c r="BD80" s="17">
        <v>0</v>
      </c>
      <c r="BE80" s="17">
        <v>0</v>
      </c>
      <c r="BF80" s="17">
        <v>0</v>
      </c>
      <c r="BG80" s="17">
        <v>0</v>
      </c>
      <c r="BH80" s="17">
        <v>0</v>
      </c>
      <c r="BI80" s="17">
        <v>0</v>
      </c>
      <c r="BJ80" s="17">
        <v>0</v>
      </c>
      <c r="BK80" s="17">
        <v>0</v>
      </c>
      <c r="BL80" s="17">
        <v>0</v>
      </c>
      <c r="BM80" s="17">
        <v>13.013406908099999</v>
      </c>
      <c r="BN80" s="17">
        <v>0</v>
      </c>
      <c r="BO80" s="17">
        <v>0</v>
      </c>
      <c r="BP80" s="17">
        <v>0</v>
      </c>
      <c r="BQ80" s="17">
        <v>0</v>
      </c>
      <c r="BR80" s="17">
        <v>0</v>
      </c>
      <c r="BS80" s="17">
        <v>0</v>
      </c>
      <c r="BT80" s="17">
        <v>0</v>
      </c>
      <c r="BU80" s="17">
        <v>0</v>
      </c>
      <c r="BV80" s="17">
        <v>0</v>
      </c>
      <c r="BW80" s="17">
        <v>0</v>
      </c>
      <c r="BX80" s="17">
        <v>0</v>
      </c>
      <c r="BY80" s="17">
        <v>0</v>
      </c>
      <c r="BZ80" s="17">
        <v>0</v>
      </c>
      <c r="CA80" s="17">
        <v>0</v>
      </c>
      <c r="CB80" s="17">
        <v>0</v>
      </c>
      <c r="CC80" s="17">
        <v>0</v>
      </c>
      <c r="CD80" s="17">
        <v>0</v>
      </c>
      <c r="CE80" s="17">
        <v>0</v>
      </c>
      <c r="CF80" s="17">
        <v>0</v>
      </c>
      <c r="CG80" s="17">
        <v>0</v>
      </c>
      <c r="CH80" s="17">
        <v>0</v>
      </c>
      <c r="CI80" s="17">
        <v>0</v>
      </c>
      <c r="CJ80" s="17">
        <v>0</v>
      </c>
      <c r="CK80" s="18">
        <v>0</v>
      </c>
    </row>
    <row r="81" spans="1:89">
      <c r="A81" s="5" t="s">
        <v>7</v>
      </c>
      <c r="B81" s="44" t="s">
        <v>79</v>
      </c>
      <c r="C81" s="6" t="s">
        <v>94</v>
      </c>
      <c r="D81" s="5">
        <v>66</v>
      </c>
      <c r="E81" s="31">
        <v>9.9098610173540075E-2</v>
      </c>
      <c r="F81" s="38">
        <f t="shared" si="2"/>
        <v>0</v>
      </c>
      <c r="J81" s="44">
        <v>66</v>
      </c>
      <c r="K81" s="73">
        <v>-4.5588199999999999</v>
      </c>
      <c r="L81" s="17">
        <f t="shared" ref="L81:L123" si="4">K81^2</f>
        <v>20.782839792399997</v>
      </c>
      <c r="M81" s="52">
        <f t="shared" si="3"/>
        <v>0</v>
      </c>
      <c r="N81" s="18">
        <f t="shared" ref="N81:N123" si="5">M81^2</f>
        <v>0</v>
      </c>
      <c r="R81" s="60">
        <v>0</v>
      </c>
      <c r="S81" s="16">
        <v>15</v>
      </c>
      <c r="T81" s="17">
        <v>24</v>
      </c>
      <c r="U81" s="18">
        <v>0.2</v>
      </c>
      <c r="W81" s="16">
        <v>0</v>
      </c>
      <c r="X81" s="17">
        <v>0</v>
      </c>
      <c r="Y81" s="17">
        <v>0</v>
      </c>
      <c r="Z81" s="17">
        <v>0</v>
      </c>
      <c r="AA81" s="17">
        <v>0</v>
      </c>
      <c r="AB81" s="17">
        <v>0</v>
      </c>
      <c r="AC81" s="17">
        <v>0</v>
      </c>
      <c r="AD81" s="17">
        <v>0</v>
      </c>
      <c r="AE81" s="17">
        <v>1</v>
      </c>
      <c r="AF81" s="17">
        <v>0</v>
      </c>
      <c r="AG81" s="18">
        <v>0</v>
      </c>
      <c r="AI81" s="16">
        <v>0</v>
      </c>
      <c r="AJ81" s="17">
        <v>0</v>
      </c>
      <c r="AK81" s="17">
        <v>0</v>
      </c>
      <c r="AL81" s="17">
        <v>0</v>
      </c>
      <c r="AM81" s="17">
        <v>0</v>
      </c>
      <c r="AN81" s="17">
        <v>0</v>
      </c>
      <c r="AO81" s="17">
        <v>0</v>
      </c>
      <c r="AP81" s="17">
        <v>0</v>
      </c>
      <c r="AQ81" s="17">
        <v>1</v>
      </c>
      <c r="AR81" s="17">
        <v>0</v>
      </c>
      <c r="AS81" s="17">
        <v>0</v>
      </c>
      <c r="AT81" s="17">
        <v>0</v>
      </c>
      <c r="AU81" s="17">
        <v>0</v>
      </c>
      <c r="AV81" s="17">
        <v>0</v>
      </c>
      <c r="AW81" s="17">
        <v>0</v>
      </c>
      <c r="AX81" s="17">
        <v>0</v>
      </c>
      <c r="AY81" s="17">
        <v>0</v>
      </c>
      <c r="AZ81" s="17">
        <v>0</v>
      </c>
      <c r="BA81" s="17">
        <v>0</v>
      </c>
      <c r="BB81" s="17">
        <v>-4.5588199999999999</v>
      </c>
      <c r="BC81" s="17">
        <v>0</v>
      </c>
      <c r="BD81" s="17">
        <v>0</v>
      </c>
      <c r="BE81" s="17">
        <v>0</v>
      </c>
      <c r="BF81" s="17">
        <v>0</v>
      </c>
      <c r="BG81" s="17">
        <v>0</v>
      </c>
      <c r="BH81" s="17">
        <v>0</v>
      </c>
      <c r="BI81" s="17">
        <v>0</v>
      </c>
      <c r="BJ81" s="17">
        <v>0</v>
      </c>
      <c r="BK81" s="17">
        <v>0</v>
      </c>
      <c r="BL81" s="17">
        <v>0</v>
      </c>
      <c r="BM81" s="17">
        <v>20.782839792399997</v>
      </c>
      <c r="BN81" s="17">
        <v>0</v>
      </c>
      <c r="BO81" s="17">
        <v>0</v>
      </c>
      <c r="BP81" s="17">
        <v>0</v>
      </c>
      <c r="BQ81" s="17">
        <v>0</v>
      </c>
      <c r="BR81" s="17">
        <v>0</v>
      </c>
      <c r="BS81" s="17">
        <v>0</v>
      </c>
      <c r="BT81" s="17">
        <v>0</v>
      </c>
      <c r="BU81" s="17">
        <v>0</v>
      </c>
      <c r="BV81" s="17">
        <v>0</v>
      </c>
      <c r="BW81" s="17">
        <v>0</v>
      </c>
      <c r="BX81" s="17">
        <v>0</v>
      </c>
      <c r="BY81" s="17">
        <v>0</v>
      </c>
      <c r="BZ81" s="17">
        <v>0</v>
      </c>
      <c r="CA81" s="17">
        <v>0</v>
      </c>
      <c r="CB81" s="17">
        <v>0</v>
      </c>
      <c r="CC81" s="17">
        <v>0</v>
      </c>
      <c r="CD81" s="17">
        <v>0</v>
      </c>
      <c r="CE81" s="17">
        <v>0</v>
      </c>
      <c r="CF81" s="17">
        <v>0</v>
      </c>
      <c r="CG81" s="17">
        <v>0</v>
      </c>
      <c r="CH81" s="17">
        <v>0</v>
      </c>
      <c r="CI81" s="17">
        <v>0</v>
      </c>
      <c r="CJ81" s="17">
        <v>0</v>
      </c>
      <c r="CK81" s="18">
        <v>0</v>
      </c>
    </row>
    <row r="82" spans="1:89">
      <c r="A82" s="5" t="s">
        <v>7</v>
      </c>
      <c r="B82" s="44" t="s">
        <v>79</v>
      </c>
      <c r="C82" s="6" t="s">
        <v>96</v>
      </c>
      <c r="D82" s="5">
        <v>67</v>
      </c>
      <c r="E82" s="31">
        <v>0.11399481253646028</v>
      </c>
      <c r="F82" s="38">
        <f t="shared" ref="F82:F123" si="6">MAX(0,MIN(E82,1)-$B$8)*$B$9*$B$10</f>
        <v>0</v>
      </c>
      <c r="J82" s="44">
        <v>67</v>
      </c>
      <c r="K82" s="73">
        <v>-0.87679700000000005</v>
      </c>
      <c r="L82" s="17">
        <f t="shared" si="4"/>
        <v>0.76877297920900012</v>
      </c>
      <c r="M82" s="52">
        <f t="shared" ref="M82:M123" si="7">M81</f>
        <v>0</v>
      </c>
      <c r="N82" s="18">
        <f t="shared" si="5"/>
        <v>0</v>
      </c>
      <c r="R82" s="60">
        <v>0</v>
      </c>
      <c r="S82" s="16">
        <v>15</v>
      </c>
      <c r="T82" s="17">
        <v>71</v>
      </c>
      <c r="U82" s="18">
        <v>0.2</v>
      </c>
      <c r="W82" s="16">
        <v>0</v>
      </c>
      <c r="X82" s="17">
        <v>0</v>
      </c>
      <c r="Y82" s="17">
        <v>0</v>
      </c>
      <c r="Z82" s="17">
        <v>0</v>
      </c>
      <c r="AA82" s="17">
        <v>0</v>
      </c>
      <c r="AB82" s="17">
        <v>0</v>
      </c>
      <c r="AC82" s="17">
        <v>0</v>
      </c>
      <c r="AD82" s="17">
        <v>0</v>
      </c>
      <c r="AE82" s="17">
        <v>1</v>
      </c>
      <c r="AF82" s="17">
        <v>0</v>
      </c>
      <c r="AG82" s="18">
        <v>0</v>
      </c>
      <c r="AI82" s="16">
        <v>0</v>
      </c>
      <c r="AJ82" s="17">
        <v>0</v>
      </c>
      <c r="AK82" s="17">
        <v>0</v>
      </c>
      <c r="AL82" s="17">
        <v>0</v>
      </c>
      <c r="AM82" s="17">
        <v>0</v>
      </c>
      <c r="AN82" s="17">
        <v>0</v>
      </c>
      <c r="AO82" s="17">
        <v>0</v>
      </c>
      <c r="AP82" s="17">
        <v>0</v>
      </c>
      <c r="AQ82" s="17">
        <v>1</v>
      </c>
      <c r="AR82" s="17">
        <v>0</v>
      </c>
      <c r="AS82" s="17">
        <v>0</v>
      </c>
      <c r="AT82" s="17">
        <v>0</v>
      </c>
      <c r="AU82" s="17">
        <v>0</v>
      </c>
      <c r="AV82" s="17">
        <v>0</v>
      </c>
      <c r="AW82" s="17">
        <v>0</v>
      </c>
      <c r="AX82" s="17">
        <v>0</v>
      </c>
      <c r="AY82" s="17">
        <v>0</v>
      </c>
      <c r="AZ82" s="17">
        <v>0</v>
      </c>
      <c r="BA82" s="17">
        <v>0</v>
      </c>
      <c r="BB82" s="17">
        <v>-0.87679700000000005</v>
      </c>
      <c r="BC82" s="17">
        <v>0</v>
      </c>
      <c r="BD82" s="17">
        <v>0</v>
      </c>
      <c r="BE82" s="17">
        <v>0</v>
      </c>
      <c r="BF82" s="17">
        <v>0</v>
      </c>
      <c r="BG82" s="17">
        <v>0</v>
      </c>
      <c r="BH82" s="17">
        <v>0</v>
      </c>
      <c r="BI82" s="17">
        <v>0</v>
      </c>
      <c r="BJ82" s="17">
        <v>0</v>
      </c>
      <c r="BK82" s="17">
        <v>0</v>
      </c>
      <c r="BL82" s="17">
        <v>0</v>
      </c>
      <c r="BM82" s="17">
        <v>0.76877297920900012</v>
      </c>
      <c r="BN82" s="17">
        <v>0</v>
      </c>
      <c r="BO82" s="17">
        <v>0</v>
      </c>
      <c r="BP82" s="17">
        <v>0</v>
      </c>
      <c r="BQ82" s="17">
        <v>0</v>
      </c>
      <c r="BR82" s="17">
        <v>0</v>
      </c>
      <c r="BS82" s="17">
        <v>0</v>
      </c>
      <c r="BT82" s="17">
        <v>0</v>
      </c>
      <c r="BU82" s="17">
        <v>0</v>
      </c>
      <c r="BV82" s="17">
        <v>0</v>
      </c>
      <c r="BW82" s="17">
        <v>0</v>
      </c>
      <c r="BX82" s="17">
        <v>0</v>
      </c>
      <c r="BY82" s="17">
        <v>0</v>
      </c>
      <c r="BZ82" s="17">
        <v>0</v>
      </c>
      <c r="CA82" s="17">
        <v>0</v>
      </c>
      <c r="CB82" s="17">
        <v>0</v>
      </c>
      <c r="CC82" s="17">
        <v>0</v>
      </c>
      <c r="CD82" s="17">
        <v>0</v>
      </c>
      <c r="CE82" s="17">
        <v>0</v>
      </c>
      <c r="CF82" s="17">
        <v>0</v>
      </c>
      <c r="CG82" s="17">
        <v>0</v>
      </c>
      <c r="CH82" s="17">
        <v>0</v>
      </c>
      <c r="CI82" s="17">
        <v>0</v>
      </c>
      <c r="CJ82" s="17">
        <v>0</v>
      </c>
      <c r="CK82" s="18">
        <v>0</v>
      </c>
    </row>
    <row r="83" spans="1:89">
      <c r="A83" s="5" t="s">
        <v>7</v>
      </c>
      <c r="B83" s="44" t="s">
        <v>79</v>
      </c>
      <c r="C83" s="6" t="s">
        <v>97</v>
      </c>
      <c r="D83" s="5">
        <v>68</v>
      </c>
      <c r="E83" s="31">
        <v>0.11490605562362959</v>
      </c>
      <c r="F83" s="38">
        <f t="shared" si="6"/>
        <v>0</v>
      </c>
      <c r="J83" s="44">
        <v>68</v>
      </c>
      <c r="K83" s="73">
        <v>-0.83185100000000001</v>
      </c>
      <c r="L83" s="17">
        <f t="shared" si="4"/>
        <v>0.69197608620100004</v>
      </c>
      <c r="M83" s="52">
        <f t="shared" si="7"/>
        <v>0</v>
      </c>
      <c r="N83" s="18">
        <f t="shared" si="5"/>
        <v>0</v>
      </c>
      <c r="R83" s="60">
        <v>0</v>
      </c>
      <c r="S83" s="16">
        <v>16</v>
      </c>
      <c r="T83" s="17">
        <v>23</v>
      </c>
      <c r="U83" s="18">
        <v>0.25</v>
      </c>
      <c r="W83" s="16">
        <v>0</v>
      </c>
      <c r="X83" s="17">
        <v>0</v>
      </c>
      <c r="Y83" s="17">
        <v>0</v>
      </c>
      <c r="Z83" s="17">
        <v>0</v>
      </c>
      <c r="AA83" s="17">
        <v>0</v>
      </c>
      <c r="AB83" s="17">
        <v>0</v>
      </c>
      <c r="AC83" s="17">
        <v>0</v>
      </c>
      <c r="AD83" s="17">
        <v>0</v>
      </c>
      <c r="AE83" s="17">
        <v>1</v>
      </c>
      <c r="AF83" s="17">
        <v>0</v>
      </c>
      <c r="AG83" s="18">
        <v>0</v>
      </c>
      <c r="AI83" s="16">
        <v>0</v>
      </c>
      <c r="AJ83" s="17">
        <v>0</v>
      </c>
      <c r="AK83" s="17">
        <v>0</v>
      </c>
      <c r="AL83" s="17">
        <v>0</v>
      </c>
      <c r="AM83" s="17">
        <v>0</v>
      </c>
      <c r="AN83" s="17">
        <v>0</v>
      </c>
      <c r="AO83" s="17">
        <v>0</v>
      </c>
      <c r="AP83" s="17">
        <v>0</v>
      </c>
      <c r="AQ83" s="17">
        <v>1</v>
      </c>
      <c r="AR83" s="17">
        <v>0</v>
      </c>
      <c r="AS83" s="17">
        <v>0</v>
      </c>
      <c r="AT83" s="17">
        <v>0</v>
      </c>
      <c r="AU83" s="17">
        <v>0</v>
      </c>
      <c r="AV83" s="17">
        <v>0</v>
      </c>
      <c r="AW83" s="17">
        <v>0</v>
      </c>
      <c r="AX83" s="17">
        <v>0</v>
      </c>
      <c r="AY83" s="17">
        <v>0</v>
      </c>
      <c r="AZ83" s="17">
        <v>0</v>
      </c>
      <c r="BA83" s="17">
        <v>0</v>
      </c>
      <c r="BB83" s="17">
        <v>-0.83185100000000001</v>
      </c>
      <c r="BC83" s="17">
        <v>0</v>
      </c>
      <c r="BD83" s="17">
        <v>0</v>
      </c>
      <c r="BE83" s="17">
        <v>0</v>
      </c>
      <c r="BF83" s="17">
        <v>0</v>
      </c>
      <c r="BG83" s="17">
        <v>0</v>
      </c>
      <c r="BH83" s="17">
        <v>0</v>
      </c>
      <c r="BI83" s="17">
        <v>0</v>
      </c>
      <c r="BJ83" s="17">
        <v>0</v>
      </c>
      <c r="BK83" s="17">
        <v>0</v>
      </c>
      <c r="BL83" s="17">
        <v>0</v>
      </c>
      <c r="BM83" s="17">
        <v>0.69197608620100004</v>
      </c>
      <c r="BN83" s="17">
        <v>0</v>
      </c>
      <c r="BO83" s="17">
        <v>0</v>
      </c>
      <c r="BP83" s="17">
        <v>0</v>
      </c>
      <c r="BQ83" s="17">
        <v>0</v>
      </c>
      <c r="BR83" s="17">
        <v>0</v>
      </c>
      <c r="BS83" s="17">
        <v>0</v>
      </c>
      <c r="BT83" s="17">
        <v>0</v>
      </c>
      <c r="BU83" s="17">
        <v>0</v>
      </c>
      <c r="BV83" s="17">
        <v>0</v>
      </c>
      <c r="BW83" s="17">
        <v>0</v>
      </c>
      <c r="BX83" s="17">
        <v>0</v>
      </c>
      <c r="BY83" s="17">
        <v>0</v>
      </c>
      <c r="BZ83" s="17">
        <v>0</v>
      </c>
      <c r="CA83" s="17">
        <v>0</v>
      </c>
      <c r="CB83" s="17">
        <v>0</v>
      </c>
      <c r="CC83" s="17">
        <v>0</v>
      </c>
      <c r="CD83" s="17">
        <v>0</v>
      </c>
      <c r="CE83" s="17">
        <v>0</v>
      </c>
      <c r="CF83" s="17">
        <v>0</v>
      </c>
      <c r="CG83" s="17">
        <v>0</v>
      </c>
      <c r="CH83" s="17">
        <v>0</v>
      </c>
      <c r="CI83" s="17">
        <v>0</v>
      </c>
      <c r="CJ83" s="17">
        <v>0</v>
      </c>
      <c r="CK83" s="18">
        <v>0</v>
      </c>
    </row>
    <row r="84" spans="1:89">
      <c r="A84" s="5" t="s">
        <v>7</v>
      </c>
      <c r="B84" s="44" t="s">
        <v>79</v>
      </c>
      <c r="C84" s="6" t="s">
        <v>106</v>
      </c>
      <c r="D84" s="5">
        <v>69</v>
      </c>
      <c r="E84" s="31">
        <v>0.11724543371372069</v>
      </c>
      <c r="F84" s="38">
        <f t="shared" si="6"/>
        <v>0</v>
      </c>
      <c r="J84" s="44">
        <v>69</v>
      </c>
      <c r="K84" s="73">
        <v>0.22314100000000001</v>
      </c>
      <c r="L84" s="17">
        <f t="shared" si="4"/>
        <v>4.9791905881E-2</v>
      </c>
      <c r="M84" s="52">
        <f t="shared" si="7"/>
        <v>0</v>
      </c>
      <c r="N84" s="18">
        <f t="shared" si="5"/>
        <v>0</v>
      </c>
      <c r="R84" s="60">
        <v>0</v>
      </c>
      <c r="S84" s="16">
        <v>16</v>
      </c>
      <c r="T84" s="17">
        <v>24</v>
      </c>
      <c r="U84" s="18">
        <v>0.25</v>
      </c>
      <c r="W84" s="16">
        <v>0</v>
      </c>
      <c r="X84" s="17">
        <v>0</v>
      </c>
      <c r="Y84" s="17">
        <v>0</v>
      </c>
      <c r="Z84" s="17">
        <v>0</v>
      </c>
      <c r="AA84" s="17">
        <v>0</v>
      </c>
      <c r="AB84" s="17">
        <v>0</v>
      </c>
      <c r="AC84" s="17">
        <v>0</v>
      </c>
      <c r="AD84" s="17">
        <v>0</v>
      </c>
      <c r="AE84" s="17">
        <v>1</v>
      </c>
      <c r="AF84" s="17">
        <v>0</v>
      </c>
      <c r="AG84" s="18">
        <v>0</v>
      </c>
      <c r="AI84" s="16">
        <v>0</v>
      </c>
      <c r="AJ84" s="17">
        <v>0</v>
      </c>
      <c r="AK84" s="17">
        <v>0</v>
      </c>
      <c r="AL84" s="17">
        <v>0</v>
      </c>
      <c r="AM84" s="17">
        <v>0</v>
      </c>
      <c r="AN84" s="17">
        <v>0</v>
      </c>
      <c r="AO84" s="17">
        <v>0</v>
      </c>
      <c r="AP84" s="17">
        <v>0</v>
      </c>
      <c r="AQ84" s="17">
        <v>1</v>
      </c>
      <c r="AR84" s="17">
        <v>0</v>
      </c>
      <c r="AS84" s="17">
        <v>0</v>
      </c>
      <c r="AT84" s="17">
        <v>0</v>
      </c>
      <c r="AU84" s="17">
        <v>0</v>
      </c>
      <c r="AV84" s="17">
        <v>0</v>
      </c>
      <c r="AW84" s="17">
        <v>0</v>
      </c>
      <c r="AX84" s="17">
        <v>0</v>
      </c>
      <c r="AY84" s="17">
        <v>0</v>
      </c>
      <c r="AZ84" s="17">
        <v>0</v>
      </c>
      <c r="BA84" s="17">
        <v>0</v>
      </c>
      <c r="BB84" s="17">
        <v>0.22314100000000001</v>
      </c>
      <c r="BC84" s="17">
        <v>0</v>
      </c>
      <c r="BD84" s="17">
        <v>0</v>
      </c>
      <c r="BE84" s="17">
        <v>0</v>
      </c>
      <c r="BF84" s="17">
        <v>0</v>
      </c>
      <c r="BG84" s="17">
        <v>0</v>
      </c>
      <c r="BH84" s="17">
        <v>0</v>
      </c>
      <c r="BI84" s="17">
        <v>0</v>
      </c>
      <c r="BJ84" s="17">
        <v>0</v>
      </c>
      <c r="BK84" s="17">
        <v>0</v>
      </c>
      <c r="BL84" s="17">
        <v>0</v>
      </c>
      <c r="BM84" s="17">
        <v>4.9791905881E-2</v>
      </c>
      <c r="BN84" s="17">
        <v>0</v>
      </c>
      <c r="BO84" s="17">
        <v>0</v>
      </c>
      <c r="BP84" s="17">
        <v>0</v>
      </c>
      <c r="BQ84" s="17">
        <v>0</v>
      </c>
      <c r="BR84" s="17">
        <v>0</v>
      </c>
      <c r="BS84" s="17">
        <v>0</v>
      </c>
      <c r="BT84" s="17">
        <v>0</v>
      </c>
      <c r="BU84" s="17">
        <v>0</v>
      </c>
      <c r="BV84" s="17">
        <v>0</v>
      </c>
      <c r="BW84" s="17">
        <v>0</v>
      </c>
      <c r="BX84" s="17">
        <v>0</v>
      </c>
      <c r="BY84" s="17">
        <v>0</v>
      </c>
      <c r="BZ84" s="17">
        <v>0</v>
      </c>
      <c r="CA84" s="17">
        <v>0</v>
      </c>
      <c r="CB84" s="17">
        <v>0</v>
      </c>
      <c r="CC84" s="17">
        <v>0</v>
      </c>
      <c r="CD84" s="17">
        <v>0</v>
      </c>
      <c r="CE84" s="17">
        <v>0</v>
      </c>
      <c r="CF84" s="17">
        <v>0</v>
      </c>
      <c r="CG84" s="17">
        <v>0</v>
      </c>
      <c r="CH84" s="17">
        <v>0</v>
      </c>
      <c r="CI84" s="17">
        <v>0</v>
      </c>
      <c r="CJ84" s="17">
        <v>0</v>
      </c>
      <c r="CK84" s="18">
        <v>0</v>
      </c>
    </row>
    <row r="85" spans="1:89">
      <c r="A85" s="5" t="s">
        <v>4</v>
      </c>
      <c r="B85" s="44" t="s">
        <v>5</v>
      </c>
      <c r="C85" s="6" t="s">
        <v>6</v>
      </c>
      <c r="D85" s="5">
        <v>70</v>
      </c>
      <c r="E85" s="31">
        <v>9.01442826319451E-2</v>
      </c>
      <c r="F85" s="38">
        <f t="shared" si="6"/>
        <v>0</v>
      </c>
      <c r="J85" s="44">
        <v>70</v>
      </c>
      <c r="K85" s="73">
        <v>-4.5571900000000003</v>
      </c>
      <c r="L85" s="17">
        <f t="shared" si="4"/>
        <v>20.767980696100004</v>
      </c>
      <c r="M85" s="52">
        <f t="shared" si="7"/>
        <v>0</v>
      </c>
      <c r="N85" s="18">
        <f t="shared" si="5"/>
        <v>0</v>
      </c>
      <c r="R85" s="60">
        <v>2.28043280960139E-2</v>
      </c>
      <c r="S85" s="16">
        <v>16</v>
      </c>
      <c r="T85" s="17">
        <v>31</v>
      </c>
      <c r="U85" s="18">
        <v>0.25</v>
      </c>
      <c r="W85" s="16">
        <v>1</v>
      </c>
      <c r="X85" s="17">
        <v>0</v>
      </c>
      <c r="Y85" s="17">
        <v>0</v>
      </c>
      <c r="Z85" s="17">
        <v>0</v>
      </c>
      <c r="AA85" s="17">
        <v>0</v>
      </c>
      <c r="AB85" s="17">
        <v>0</v>
      </c>
      <c r="AC85" s="17">
        <v>0</v>
      </c>
      <c r="AD85" s="17">
        <v>0</v>
      </c>
      <c r="AE85" s="17">
        <v>0</v>
      </c>
      <c r="AF85" s="17">
        <v>0</v>
      </c>
      <c r="AG85" s="18">
        <v>0</v>
      </c>
      <c r="AI85" s="16">
        <v>1</v>
      </c>
      <c r="AJ85" s="17">
        <v>0</v>
      </c>
      <c r="AK85" s="17">
        <v>0</v>
      </c>
      <c r="AL85" s="17">
        <v>0</v>
      </c>
      <c r="AM85" s="17">
        <v>0</v>
      </c>
      <c r="AN85" s="17">
        <v>0</v>
      </c>
      <c r="AO85" s="17">
        <v>0</v>
      </c>
      <c r="AP85" s="17">
        <v>0</v>
      </c>
      <c r="AQ85" s="17">
        <v>0</v>
      </c>
      <c r="AR85" s="17">
        <v>0</v>
      </c>
      <c r="AS85" s="17">
        <v>0</v>
      </c>
      <c r="AT85" s="17">
        <v>-4.5571900000000003</v>
      </c>
      <c r="AU85" s="17">
        <v>0</v>
      </c>
      <c r="AV85" s="17">
        <v>0</v>
      </c>
      <c r="AW85" s="17">
        <v>0</v>
      </c>
      <c r="AX85" s="17">
        <v>0</v>
      </c>
      <c r="AY85" s="17">
        <v>0</v>
      </c>
      <c r="AZ85" s="17">
        <v>0</v>
      </c>
      <c r="BA85" s="17">
        <v>0</v>
      </c>
      <c r="BB85" s="17">
        <v>0</v>
      </c>
      <c r="BC85" s="17">
        <v>0</v>
      </c>
      <c r="BD85" s="17">
        <v>0</v>
      </c>
      <c r="BE85" s="17">
        <v>20.767980696100004</v>
      </c>
      <c r="BF85" s="17">
        <v>0</v>
      </c>
      <c r="BG85" s="17">
        <v>0</v>
      </c>
      <c r="BH85" s="17">
        <v>0</v>
      </c>
      <c r="BI85" s="17">
        <v>0</v>
      </c>
      <c r="BJ85" s="17">
        <v>0</v>
      </c>
      <c r="BK85" s="17">
        <v>0</v>
      </c>
      <c r="BL85" s="17">
        <v>0</v>
      </c>
      <c r="BM85" s="17">
        <v>0</v>
      </c>
      <c r="BN85" s="17">
        <v>0</v>
      </c>
      <c r="BO85" s="17">
        <v>0</v>
      </c>
      <c r="BP85" s="17">
        <v>0</v>
      </c>
      <c r="BQ85" s="17">
        <v>0</v>
      </c>
      <c r="BR85" s="17">
        <v>0</v>
      </c>
      <c r="BS85" s="17">
        <v>0</v>
      </c>
      <c r="BT85" s="17">
        <v>0</v>
      </c>
      <c r="BU85" s="17">
        <v>0</v>
      </c>
      <c r="BV85" s="17">
        <v>0</v>
      </c>
      <c r="BW85" s="17">
        <v>0</v>
      </c>
      <c r="BX85" s="17">
        <v>0</v>
      </c>
      <c r="BY85" s="17">
        <v>0</v>
      </c>
      <c r="BZ85" s="17">
        <v>0</v>
      </c>
      <c r="CA85" s="17">
        <v>0</v>
      </c>
      <c r="CB85" s="17">
        <v>0</v>
      </c>
      <c r="CC85" s="17">
        <v>0</v>
      </c>
      <c r="CD85" s="17">
        <v>0</v>
      </c>
      <c r="CE85" s="17">
        <v>0</v>
      </c>
      <c r="CF85" s="17">
        <v>0</v>
      </c>
      <c r="CG85" s="17">
        <v>0</v>
      </c>
      <c r="CH85" s="17">
        <v>0</v>
      </c>
      <c r="CI85" s="17">
        <v>0</v>
      </c>
      <c r="CJ85" s="17">
        <v>0</v>
      </c>
      <c r="CK85" s="18">
        <v>0</v>
      </c>
    </row>
    <row r="86" spans="1:89">
      <c r="A86" s="5" t="s">
        <v>4</v>
      </c>
      <c r="B86" s="44" t="s">
        <v>5</v>
      </c>
      <c r="C86" s="6" t="s">
        <v>81</v>
      </c>
      <c r="D86" s="5">
        <v>71</v>
      </c>
      <c r="E86" s="31">
        <v>9.5377033604598566E-2</v>
      </c>
      <c r="F86" s="38">
        <f t="shared" si="6"/>
        <v>0</v>
      </c>
      <c r="J86" s="44">
        <v>71</v>
      </c>
      <c r="K86" s="73">
        <v>-5.6828399999999997</v>
      </c>
      <c r="L86" s="17">
        <f t="shared" si="4"/>
        <v>32.294670465599999</v>
      </c>
      <c r="M86" s="52">
        <f t="shared" si="7"/>
        <v>0</v>
      </c>
      <c r="N86" s="18">
        <f t="shared" si="5"/>
        <v>0</v>
      </c>
      <c r="R86" s="60">
        <v>2.4260515355988398E-2</v>
      </c>
      <c r="S86" s="16">
        <v>16</v>
      </c>
      <c r="T86" s="17">
        <v>34</v>
      </c>
      <c r="U86" s="18">
        <v>0.25</v>
      </c>
      <c r="W86" s="16">
        <v>1</v>
      </c>
      <c r="X86" s="17">
        <v>0</v>
      </c>
      <c r="Y86" s="17">
        <v>0</v>
      </c>
      <c r="Z86" s="17">
        <v>0</v>
      </c>
      <c r="AA86" s="17">
        <v>0</v>
      </c>
      <c r="AB86" s="17">
        <v>0</v>
      </c>
      <c r="AC86" s="17">
        <v>0</v>
      </c>
      <c r="AD86" s="17">
        <v>0</v>
      </c>
      <c r="AE86" s="17">
        <v>0</v>
      </c>
      <c r="AF86" s="17">
        <v>0</v>
      </c>
      <c r="AG86" s="18">
        <v>0</v>
      </c>
      <c r="AI86" s="16">
        <v>1</v>
      </c>
      <c r="AJ86" s="17">
        <v>0</v>
      </c>
      <c r="AK86" s="17">
        <v>0</v>
      </c>
      <c r="AL86" s="17">
        <v>0</v>
      </c>
      <c r="AM86" s="17">
        <v>0</v>
      </c>
      <c r="AN86" s="17">
        <v>0</v>
      </c>
      <c r="AO86" s="17">
        <v>0</v>
      </c>
      <c r="AP86" s="17">
        <v>0</v>
      </c>
      <c r="AQ86" s="17">
        <v>0</v>
      </c>
      <c r="AR86" s="17">
        <v>0</v>
      </c>
      <c r="AS86" s="17">
        <v>0</v>
      </c>
      <c r="AT86" s="17">
        <v>-5.6828399999999997</v>
      </c>
      <c r="AU86" s="17">
        <v>0</v>
      </c>
      <c r="AV86" s="17">
        <v>0</v>
      </c>
      <c r="AW86" s="17">
        <v>0</v>
      </c>
      <c r="AX86" s="17">
        <v>0</v>
      </c>
      <c r="AY86" s="17">
        <v>0</v>
      </c>
      <c r="AZ86" s="17">
        <v>0</v>
      </c>
      <c r="BA86" s="17">
        <v>0</v>
      </c>
      <c r="BB86" s="17">
        <v>0</v>
      </c>
      <c r="BC86" s="17">
        <v>0</v>
      </c>
      <c r="BD86" s="17">
        <v>0</v>
      </c>
      <c r="BE86" s="17">
        <v>32.294670465599999</v>
      </c>
      <c r="BF86" s="17">
        <v>0</v>
      </c>
      <c r="BG86" s="17">
        <v>0</v>
      </c>
      <c r="BH86" s="17">
        <v>0</v>
      </c>
      <c r="BI86" s="17">
        <v>0</v>
      </c>
      <c r="BJ86" s="17">
        <v>0</v>
      </c>
      <c r="BK86" s="17">
        <v>0</v>
      </c>
      <c r="BL86" s="17">
        <v>0</v>
      </c>
      <c r="BM86" s="17">
        <v>0</v>
      </c>
      <c r="BN86" s="17">
        <v>0</v>
      </c>
      <c r="BO86" s="17">
        <v>0</v>
      </c>
      <c r="BP86" s="17">
        <v>0</v>
      </c>
      <c r="BQ86" s="17">
        <v>0</v>
      </c>
      <c r="BR86" s="17">
        <v>0</v>
      </c>
      <c r="BS86" s="17">
        <v>0</v>
      </c>
      <c r="BT86" s="17">
        <v>0</v>
      </c>
      <c r="BU86" s="17">
        <v>0</v>
      </c>
      <c r="BV86" s="17">
        <v>0</v>
      </c>
      <c r="BW86" s="17">
        <v>0</v>
      </c>
      <c r="BX86" s="17">
        <v>0</v>
      </c>
      <c r="BY86" s="17">
        <v>0</v>
      </c>
      <c r="BZ86" s="17">
        <v>0</v>
      </c>
      <c r="CA86" s="17">
        <v>0</v>
      </c>
      <c r="CB86" s="17">
        <v>0</v>
      </c>
      <c r="CC86" s="17">
        <v>0</v>
      </c>
      <c r="CD86" s="17">
        <v>0</v>
      </c>
      <c r="CE86" s="17">
        <v>0</v>
      </c>
      <c r="CF86" s="17">
        <v>0</v>
      </c>
      <c r="CG86" s="17">
        <v>0</v>
      </c>
      <c r="CH86" s="17">
        <v>0</v>
      </c>
      <c r="CI86" s="17">
        <v>0</v>
      </c>
      <c r="CJ86" s="17">
        <v>0</v>
      </c>
      <c r="CK86" s="18">
        <v>0</v>
      </c>
    </row>
    <row r="87" spans="1:89">
      <c r="A87" s="5" t="s">
        <v>4</v>
      </c>
      <c r="B87" s="44" t="s">
        <v>5</v>
      </c>
      <c r="C87" s="6" t="s">
        <v>82</v>
      </c>
      <c r="D87" s="5">
        <v>72</v>
      </c>
      <c r="E87" s="31">
        <v>0.1005404561551579</v>
      </c>
      <c r="F87" s="38">
        <f t="shared" si="6"/>
        <v>0</v>
      </c>
      <c r="J87" s="44">
        <v>72</v>
      </c>
      <c r="K87" s="73">
        <v>-2.77034</v>
      </c>
      <c r="L87" s="17">
        <f t="shared" si="4"/>
        <v>7.6747837156000003</v>
      </c>
      <c r="M87" s="52">
        <f t="shared" si="7"/>
        <v>0</v>
      </c>
      <c r="N87" s="18">
        <f t="shared" si="5"/>
        <v>0</v>
      </c>
      <c r="R87" s="60">
        <v>2.6693262681368301E-2</v>
      </c>
      <c r="S87" s="16">
        <v>17</v>
      </c>
      <c r="T87" s="17">
        <v>18</v>
      </c>
      <c r="U87" s="18">
        <v>0.125</v>
      </c>
      <c r="W87" s="16">
        <v>1</v>
      </c>
      <c r="X87" s="17">
        <v>0</v>
      </c>
      <c r="Y87" s="17">
        <v>0</v>
      </c>
      <c r="Z87" s="17">
        <v>0</v>
      </c>
      <c r="AA87" s="17">
        <v>0</v>
      </c>
      <c r="AB87" s="17">
        <v>0</v>
      </c>
      <c r="AC87" s="17">
        <v>0</v>
      </c>
      <c r="AD87" s="17">
        <v>0</v>
      </c>
      <c r="AE87" s="17">
        <v>0</v>
      </c>
      <c r="AF87" s="17">
        <v>0</v>
      </c>
      <c r="AG87" s="18">
        <v>0</v>
      </c>
      <c r="AI87" s="16">
        <v>1</v>
      </c>
      <c r="AJ87" s="17">
        <v>0</v>
      </c>
      <c r="AK87" s="17">
        <v>0</v>
      </c>
      <c r="AL87" s="17">
        <v>0</v>
      </c>
      <c r="AM87" s="17">
        <v>0</v>
      </c>
      <c r="AN87" s="17">
        <v>0</v>
      </c>
      <c r="AO87" s="17">
        <v>0</v>
      </c>
      <c r="AP87" s="17">
        <v>0</v>
      </c>
      <c r="AQ87" s="17">
        <v>0</v>
      </c>
      <c r="AR87" s="17">
        <v>0</v>
      </c>
      <c r="AS87" s="17">
        <v>0</v>
      </c>
      <c r="AT87" s="17">
        <v>-2.77034</v>
      </c>
      <c r="AU87" s="17">
        <v>0</v>
      </c>
      <c r="AV87" s="17">
        <v>0</v>
      </c>
      <c r="AW87" s="17">
        <v>0</v>
      </c>
      <c r="AX87" s="17">
        <v>0</v>
      </c>
      <c r="AY87" s="17">
        <v>0</v>
      </c>
      <c r="AZ87" s="17">
        <v>0</v>
      </c>
      <c r="BA87" s="17">
        <v>0</v>
      </c>
      <c r="BB87" s="17">
        <v>0</v>
      </c>
      <c r="BC87" s="17">
        <v>0</v>
      </c>
      <c r="BD87" s="17">
        <v>0</v>
      </c>
      <c r="BE87" s="17">
        <v>7.6747837156000003</v>
      </c>
      <c r="BF87" s="17">
        <v>0</v>
      </c>
      <c r="BG87" s="17">
        <v>0</v>
      </c>
      <c r="BH87" s="17">
        <v>0</v>
      </c>
      <c r="BI87" s="17">
        <v>0</v>
      </c>
      <c r="BJ87" s="17">
        <v>0</v>
      </c>
      <c r="BK87" s="17">
        <v>0</v>
      </c>
      <c r="BL87" s="17">
        <v>0</v>
      </c>
      <c r="BM87" s="17">
        <v>0</v>
      </c>
      <c r="BN87" s="17">
        <v>0</v>
      </c>
      <c r="BO87" s="17">
        <v>0</v>
      </c>
      <c r="BP87" s="17">
        <v>0</v>
      </c>
      <c r="BQ87" s="17">
        <v>0</v>
      </c>
      <c r="BR87" s="17">
        <v>0</v>
      </c>
      <c r="BS87" s="17">
        <v>0</v>
      </c>
      <c r="BT87" s="17">
        <v>0</v>
      </c>
      <c r="BU87" s="17">
        <v>0</v>
      </c>
      <c r="BV87" s="17">
        <v>0</v>
      </c>
      <c r="BW87" s="17">
        <v>0</v>
      </c>
      <c r="BX87" s="17">
        <v>0</v>
      </c>
      <c r="BY87" s="17">
        <v>0</v>
      </c>
      <c r="BZ87" s="17">
        <v>0</v>
      </c>
      <c r="CA87" s="17">
        <v>0</v>
      </c>
      <c r="CB87" s="17">
        <v>0</v>
      </c>
      <c r="CC87" s="17">
        <v>0</v>
      </c>
      <c r="CD87" s="17">
        <v>0</v>
      </c>
      <c r="CE87" s="17">
        <v>0</v>
      </c>
      <c r="CF87" s="17">
        <v>0</v>
      </c>
      <c r="CG87" s="17">
        <v>0</v>
      </c>
      <c r="CH87" s="17">
        <v>0</v>
      </c>
      <c r="CI87" s="17">
        <v>0</v>
      </c>
      <c r="CJ87" s="17">
        <v>0</v>
      </c>
      <c r="CK87" s="18">
        <v>0</v>
      </c>
    </row>
    <row r="88" spans="1:89">
      <c r="A88" s="5" t="s">
        <v>4</v>
      </c>
      <c r="B88" s="44" t="s">
        <v>5</v>
      </c>
      <c r="C88" s="6" t="s">
        <v>83</v>
      </c>
      <c r="D88" s="5">
        <v>73</v>
      </c>
      <c r="E88" s="31">
        <v>0.1007512403106085</v>
      </c>
      <c r="F88" s="38">
        <f t="shared" si="6"/>
        <v>0</v>
      </c>
      <c r="J88" s="44">
        <v>73</v>
      </c>
      <c r="K88" s="73">
        <v>-3.61375</v>
      </c>
      <c r="L88" s="17">
        <f t="shared" si="4"/>
        <v>13.0591890625</v>
      </c>
      <c r="M88" s="52">
        <f t="shared" si="7"/>
        <v>0</v>
      </c>
      <c r="N88" s="18">
        <f t="shared" si="5"/>
        <v>0</v>
      </c>
      <c r="R88" s="60">
        <v>2.71715173071745E-2</v>
      </c>
      <c r="S88" s="16">
        <v>17</v>
      </c>
      <c r="T88" s="17">
        <v>25</v>
      </c>
      <c r="U88" s="18">
        <v>0.125</v>
      </c>
      <c r="W88" s="16">
        <v>1</v>
      </c>
      <c r="X88" s="17">
        <v>0</v>
      </c>
      <c r="Y88" s="17">
        <v>0</v>
      </c>
      <c r="Z88" s="17">
        <v>0</v>
      </c>
      <c r="AA88" s="17">
        <v>0</v>
      </c>
      <c r="AB88" s="17">
        <v>0</v>
      </c>
      <c r="AC88" s="17">
        <v>0</v>
      </c>
      <c r="AD88" s="17">
        <v>0</v>
      </c>
      <c r="AE88" s="17">
        <v>0</v>
      </c>
      <c r="AF88" s="17">
        <v>0</v>
      </c>
      <c r="AG88" s="18">
        <v>0</v>
      </c>
      <c r="AI88" s="16">
        <v>1</v>
      </c>
      <c r="AJ88" s="17">
        <v>0</v>
      </c>
      <c r="AK88" s="17">
        <v>0</v>
      </c>
      <c r="AL88" s="17">
        <v>0</v>
      </c>
      <c r="AM88" s="17">
        <v>0</v>
      </c>
      <c r="AN88" s="17">
        <v>0</v>
      </c>
      <c r="AO88" s="17">
        <v>0</v>
      </c>
      <c r="AP88" s="17">
        <v>0</v>
      </c>
      <c r="AQ88" s="17">
        <v>0</v>
      </c>
      <c r="AR88" s="17">
        <v>0</v>
      </c>
      <c r="AS88" s="17">
        <v>0</v>
      </c>
      <c r="AT88" s="17">
        <v>-3.61375</v>
      </c>
      <c r="AU88" s="17">
        <v>0</v>
      </c>
      <c r="AV88" s="17">
        <v>0</v>
      </c>
      <c r="AW88" s="17">
        <v>0</v>
      </c>
      <c r="AX88" s="17">
        <v>0</v>
      </c>
      <c r="AY88" s="17">
        <v>0</v>
      </c>
      <c r="AZ88" s="17">
        <v>0</v>
      </c>
      <c r="BA88" s="17">
        <v>0</v>
      </c>
      <c r="BB88" s="17">
        <v>0</v>
      </c>
      <c r="BC88" s="17">
        <v>0</v>
      </c>
      <c r="BD88" s="17">
        <v>0</v>
      </c>
      <c r="BE88" s="17">
        <v>13.0591890625</v>
      </c>
      <c r="BF88" s="17">
        <v>0</v>
      </c>
      <c r="BG88" s="17">
        <v>0</v>
      </c>
      <c r="BH88" s="17">
        <v>0</v>
      </c>
      <c r="BI88" s="17">
        <v>0</v>
      </c>
      <c r="BJ88" s="17">
        <v>0</v>
      </c>
      <c r="BK88" s="17">
        <v>0</v>
      </c>
      <c r="BL88" s="17">
        <v>0</v>
      </c>
      <c r="BM88" s="17">
        <v>0</v>
      </c>
      <c r="BN88" s="17">
        <v>0</v>
      </c>
      <c r="BO88" s="17">
        <v>0</v>
      </c>
      <c r="BP88" s="17">
        <v>0</v>
      </c>
      <c r="BQ88" s="17">
        <v>0</v>
      </c>
      <c r="BR88" s="17">
        <v>0</v>
      </c>
      <c r="BS88" s="17">
        <v>0</v>
      </c>
      <c r="BT88" s="17">
        <v>0</v>
      </c>
      <c r="BU88" s="17">
        <v>0</v>
      </c>
      <c r="BV88" s="17">
        <v>0</v>
      </c>
      <c r="BW88" s="17">
        <v>0</v>
      </c>
      <c r="BX88" s="17">
        <v>0</v>
      </c>
      <c r="BY88" s="17">
        <v>0</v>
      </c>
      <c r="BZ88" s="17">
        <v>0</v>
      </c>
      <c r="CA88" s="17">
        <v>0</v>
      </c>
      <c r="CB88" s="17">
        <v>0</v>
      </c>
      <c r="CC88" s="17">
        <v>0</v>
      </c>
      <c r="CD88" s="17">
        <v>0</v>
      </c>
      <c r="CE88" s="17">
        <v>0</v>
      </c>
      <c r="CF88" s="17">
        <v>0</v>
      </c>
      <c r="CG88" s="17">
        <v>0</v>
      </c>
      <c r="CH88" s="17">
        <v>0</v>
      </c>
      <c r="CI88" s="17">
        <v>0</v>
      </c>
      <c r="CJ88" s="17">
        <v>0</v>
      </c>
      <c r="CK88" s="18">
        <v>0</v>
      </c>
    </row>
    <row r="89" spans="1:89">
      <c r="A89" s="5" t="s">
        <v>4</v>
      </c>
      <c r="B89" s="44" t="s">
        <v>5</v>
      </c>
      <c r="C89" s="6" t="s">
        <v>86</v>
      </c>
      <c r="D89" s="5">
        <v>74</v>
      </c>
      <c r="E89" s="31">
        <v>0.10591713892010546</v>
      </c>
      <c r="F89" s="38">
        <f t="shared" si="6"/>
        <v>0</v>
      </c>
      <c r="J89" s="44">
        <v>74</v>
      </c>
      <c r="K89" s="73">
        <v>-5.10738</v>
      </c>
      <c r="L89" s="17">
        <f t="shared" si="4"/>
        <v>26.085330464400002</v>
      </c>
      <c r="M89" s="52">
        <f t="shared" si="7"/>
        <v>0</v>
      </c>
      <c r="N89" s="18">
        <f t="shared" si="5"/>
        <v>0</v>
      </c>
      <c r="R89" s="60">
        <v>3.3141508711682303E-2</v>
      </c>
      <c r="S89" s="16">
        <v>17</v>
      </c>
      <c r="T89" s="17">
        <v>26</v>
      </c>
      <c r="U89" s="18">
        <v>0.125</v>
      </c>
      <c r="W89" s="16">
        <v>1</v>
      </c>
      <c r="X89" s="17">
        <v>0</v>
      </c>
      <c r="Y89" s="17">
        <v>0</v>
      </c>
      <c r="Z89" s="17">
        <v>0</v>
      </c>
      <c r="AA89" s="17">
        <v>0</v>
      </c>
      <c r="AB89" s="17">
        <v>0</v>
      </c>
      <c r="AC89" s="17">
        <v>0</v>
      </c>
      <c r="AD89" s="17">
        <v>0</v>
      </c>
      <c r="AE89" s="17">
        <v>0</v>
      </c>
      <c r="AF89" s="17">
        <v>0</v>
      </c>
      <c r="AG89" s="18">
        <v>0</v>
      </c>
      <c r="AI89" s="16">
        <v>1</v>
      </c>
      <c r="AJ89" s="17">
        <v>0</v>
      </c>
      <c r="AK89" s="17">
        <v>0</v>
      </c>
      <c r="AL89" s="17">
        <v>0</v>
      </c>
      <c r="AM89" s="17">
        <v>0</v>
      </c>
      <c r="AN89" s="17">
        <v>0</v>
      </c>
      <c r="AO89" s="17">
        <v>0</v>
      </c>
      <c r="AP89" s="17">
        <v>0</v>
      </c>
      <c r="AQ89" s="17">
        <v>0</v>
      </c>
      <c r="AR89" s="17">
        <v>0</v>
      </c>
      <c r="AS89" s="17">
        <v>0</v>
      </c>
      <c r="AT89" s="17">
        <v>-5.10738</v>
      </c>
      <c r="AU89" s="17">
        <v>0</v>
      </c>
      <c r="AV89" s="17">
        <v>0</v>
      </c>
      <c r="AW89" s="17">
        <v>0</v>
      </c>
      <c r="AX89" s="17">
        <v>0</v>
      </c>
      <c r="AY89" s="17">
        <v>0</v>
      </c>
      <c r="AZ89" s="17">
        <v>0</v>
      </c>
      <c r="BA89" s="17">
        <v>0</v>
      </c>
      <c r="BB89" s="17">
        <v>0</v>
      </c>
      <c r="BC89" s="17">
        <v>0</v>
      </c>
      <c r="BD89" s="17">
        <v>0</v>
      </c>
      <c r="BE89" s="17">
        <v>26.085330464400002</v>
      </c>
      <c r="BF89" s="17">
        <v>0</v>
      </c>
      <c r="BG89" s="17">
        <v>0</v>
      </c>
      <c r="BH89" s="17">
        <v>0</v>
      </c>
      <c r="BI89" s="17">
        <v>0</v>
      </c>
      <c r="BJ89" s="17">
        <v>0</v>
      </c>
      <c r="BK89" s="17">
        <v>0</v>
      </c>
      <c r="BL89" s="17">
        <v>0</v>
      </c>
      <c r="BM89" s="17">
        <v>0</v>
      </c>
      <c r="BN89" s="17">
        <v>0</v>
      </c>
      <c r="BO89" s="17">
        <v>0</v>
      </c>
      <c r="BP89" s="17">
        <v>0</v>
      </c>
      <c r="BQ89" s="17">
        <v>0</v>
      </c>
      <c r="BR89" s="17">
        <v>0</v>
      </c>
      <c r="BS89" s="17">
        <v>0</v>
      </c>
      <c r="BT89" s="17">
        <v>0</v>
      </c>
      <c r="BU89" s="17">
        <v>0</v>
      </c>
      <c r="BV89" s="17">
        <v>0</v>
      </c>
      <c r="BW89" s="17">
        <v>0</v>
      </c>
      <c r="BX89" s="17">
        <v>0</v>
      </c>
      <c r="BY89" s="17">
        <v>0</v>
      </c>
      <c r="BZ89" s="17">
        <v>0</v>
      </c>
      <c r="CA89" s="17">
        <v>0</v>
      </c>
      <c r="CB89" s="17">
        <v>0</v>
      </c>
      <c r="CC89" s="17">
        <v>0</v>
      </c>
      <c r="CD89" s="17">
        <v>0</v>
      </c>
      <c r="CE89" s="17">
        <v>0</v>
      </c>
      <c r="CF89" s="17">
        <v>0</v>
      </c>
      <c r="CG89" s="17">
        <v>0</v>
      </c>
      <c r="CH89" s="17">
        <v>0</v>
      </c>
      <c r="CI89" s="17">
        <v>0</v>
      </c>
      <c r="CJ89" s="17">
        <v>0</v>
      </c>
      <c r="CK89" s="18">
        <v>0</v>
      </c>
    </row>
    <row r="90" spans="1:89">
      <c r="A90" s="5" t="s">
        <v>4</v>
      </c>
      <c r="B90" s="44" t="s">
        <v>5</v>
      </c>
      <c r="C90" s="6" t="s">
        <v>91</v>
      </c>
      <c r="D90" s="5">
        <v>75</v>
      </c>
      <c r="E90" s="31">
        <v>9.1060267472456935E-2</v>
      </c>
      <c r="F90" s="38">
        <f t="shared" si="6"/>
        <v>0</v>
      </c>
      <c r="J90" s="44">
        <v>75</v>
      </c>
      <c r="K90" s="73">
        <v>-7.72675</v>
      </c>
      <c r="L90" s="17">
        <f t="shared" si="4"/>
        <v>59.702665562500002</v>
      </c>
      <c r="M90" s="52">
        <f t="shared" si="7"/>
        <v>0</v>
      </c>
      <c r="N90" s="18">
        <f t="shared" si="5"/>
        <v>0</v>
      </c>
      <c r="R90" s="60">
        <v>2.0412483858967899E-2</v>
      </c>
      <c r="S90" s="16">
        <v>17</v>
      </c>
      <c r="T90" s="17">
        <v>27</v>
      </c>
      <c r="U90" s="18">
        <v>0.125</v>
      </c>
      <c r="W90" s="16">
        <v>1</v>
      </c>
      <c r="X90" s="17">
        <v>0</v>
      </c>
      <c r="Y90" s="17">
        <v>0</v>
      </c>
      <c r="Z90" s="17">
        <v>0</v>
      </c>
      <c r="AA90" s="17">
        <v>0</v>
      </c>
      <c r="AB90" s="17">
        <v>0</v>
      </c>
      <c r="AC90" s="17">
        <v>0</v>
      </c>
      <c r="AD90" s="17">
        <v>0</v>
      </c>
      <c r="AE90" s="17">
        <v>0</v>
      </c>
      <c r="AF90" s="17">
        <v>0</v>
      </c>
      <c r="AG90" s="18">
        <v>0</v>
      </c>
      <c r="AI90" s="16">
        <v>1</v>
      </c>
      <c r="AJ90" s="17">
        <v>0</v>
      </c>
      <c r="AK90" s="17">
        <v>0</v>
      </c>
      <c r="AL90" s="17">
        <v>0</v>
      </c>
      <c r="AM90" s="17">
        <v>0</v>
      </c>
      <c r="AN90" s="17">
        <v>0</v>
      </c>
      <c r="AO90" s="17">
        <v>0</v>
      </c>
      <c r="AP90" s="17">
        <v>0</v>
      </c>
      <c r="AQ90" s="17">
        <v>0</v>
      </c>
      <c r="AR90" s="17">
        <v>0</v>
      </c>
      <c r="AS90" s="17">
        <v>0</v>
      </c>
      <c r="AT90" s="17">
        <v>-7.72675</v>
      </c>
      <c r="AU90" s="17">
        <v>0</v>
      </c>
      <c r="AV90" s="17">
        <v>0</v>
      </c>
      <c r="AW90" s="17">
        <v>0</v>
      </c>
      <c r="AX90" s="17">
        <v>0</v>
      </c>
      <c r="AY90" s="17">
        <v>0</v>
      </c>
      <c r="AZ90" s="17">
        <v>0</v>
      </c>
      <c r="BA90" s="17">
        <v>0</v>
      </c>
      <c r="BB90" s="17">
        <v>0</v>
      </c>
      <c r="BC90" s="17">
        <v>0</v>
      </c>
      <c r="BD90" s="17">
        <v>0</v>
      </c>
      <c r="BE90" s="17">
        <v>59.702665562500002</v>
      </c>
      <c r="BF90" s="17">
        <v>0</v>
      </c>
      <c r="BG90" s="17">
        <v>0</v>
      </c>
      <c r="BH90" s="17">
        <v>0</v>
      </c>
      <c r="BI90" s="17">
        <v>0</v>
      </c>
      <c r="BJ90" s="17">
        <v>0</v>
      </c>
      <c r="BK90" s="17">
        <v>0</v>
      </c>
      <c r="BL90" s="17">
        <v>0</v>
      </c>
      <c r="BM90" s="17">
        <v>0</v>
      </c>
      <c r="BN90" s="17">
        <v>0</v>
      </c>
      <c r="BO90" s="17">
        <v>0</v>
      </c>
      <c r="BP90" s="17">
        <v>0</v>
      </c>
      <c r="BQ90" s="17">
        <v>0</v>
      </c>
      <c r="BR90" s="17">
        <v>0</v>
      </c>
      <c r="BS90" s="17">
        <v>0</v>
      </c>
      <c r="BT90" s="17">
        <v>0</v>
      </c>
      <c r="BU90" s="17">
        <v>0</v>
      </c>
      <c r="BV90" s="17">
        <v>0</v>
      </c>
      <c r="BW90" s="17">
        <v>0</v>
      </c>
      <c r="BX90" s="17">
        <v>0</v>
      </c>
      <c r="BY90" s="17">
        <v>0</v>
      </c>
      <c r="BZ90" s="17">
        <v>0</v>
      </c>
      <c r="CA90" s="17">
        <v>0</v>
      </c>
      <c r="CB90" s="17">
        <v>0</v>
      </c>
      <c r="CC90" s="17">
        <v>0</v>
      </c>
      <c r="CD90" s="17">
        <v>0</v>
      </c>
      <c r="CE90" s="17">
        <v>0</v>
      </c>
      <c r="CF90" s="17">
        <v>0</v>
      </c>
      <c r="CG90" s="17">
        <v>0</v>
      </c>
      <c r="CH90" s="17">
        <v>0</v>
      </c>
      <c r="CI90" s="17">
        <v>0</v>
      </c>
      <c r="CJ90" s="17">
        <v>0</v>
      </c>
      <c r="CK90" s="18">
        <v>0</v>
      </c>
    </row>
    <row r="91" spans="1:89">
      <c r="A91" s="5" t="s">
        <v>4</v>
      </c>
      <c r="B91" s="44" t="s">
        <v>5</v>
      </c>
      <c r="C91" s="6" t="s">
        <v>92</v>
      </c>
      <c r="D91" s="5">
        <v>76</v>
      </c>
      <c r="E91" s="31">
        <v>7.2130201644684311E-2</v>
      </c>
      <c r="F91" s="38">
        <f t="shared" si="6"/>
        <v>0</v>
      </c>
      <c r="J91" s="44">
        <v>76</v>
      </c>
      <c r="K91" s="73">
        <v>-1.1013599999999999</v>
      </c>
      <c r="L91" s="17">
        <f t="shared" si="4"/>
        <v>1.2129938495999997</v>
      </c>
      <c r="M91" s="52">
        <f t="shared" si="7"/>
        <v>0</v>
      </c>
      <c r="N91" s="18">
        <f t="shared" si="5"/>
        <v>0</v>
      </c>
      <c r="R91" s="60">
        <v>0</v>
      </c>
      <c r="S91" s="16">
        <v>17</v>
      </c>
      <c r="T91" s="17">
        <v>28</v>
      </c>
      <c r="U91" s="18">
        <v>0.125</v>
      </c>
      <c r="W91" s="16">
        <v>1</v>
      </c>
      <c r="X91" s="17">
        <v>0</v>
      </c>
      <c r="Y91" s="17">
        <v>0</v>
      </c>
      <c r="Z91" s="17">
        <v>0</v>
      </c>
      <c r="AA91" s="17">
        <v>0</v>
      </c>
      <c r="AB91" s="17">
        <v>0</v>
      </c>
      <c r="AC91" s="17">
        <v>0</v>
      </c>
      <c r="AD91" s="17">
        <v>0</v>
      </c>
      <c r="AE91" s="17">
        <v>0</v>
      </c>
      <c r="AF91" s="17">
        <v>0</v>
      </c>
      <c r="AG91" s="18">
        <v>0</v>
      </c>
      <c r="AI91" s="16">
        <v>1</v>
      </c>
      <c r="AJ91" s="17">
        <v>0</v>
      </c>
      <c r="AK91" s="17">
        <v>0</v>
      </c>
      <c r="AL91" s="17">
        <v>0</v>
      </c>
      <c r="AM91" s="17">
        <v>0</v>
      </c>
      <c r="AN91" s="17">
        <v>0</v>
      </c>
      <c r="AO91" s="17">
        <v>0</v>
      </c>
      <c r="AP91" s="17">
        <v>0</v>
      </c>
      <c r="AQ91" s="17">
        <v>0</v>
      </c>
      <c r="AR91" s="17">
        <v>0</v>
      </c>
      <c r="AS91" s="17">
        <v>0</v>
      </c>
      <c r="AT91" s="17">
        <v>-1.1013599999999999</v>
      </c>
      <c r="AU91" s="17">
        <v>0</v>
      </c>
      <c r="AV91" s="17">
        <v>0</v>
      </c>
      <c r="AW91" s="17">
        <v>0</v>
      </c>
      <c r="AX91" s="17">
        <v>0</v>
      </c>
      <c r="AY91" s="17">
        <v>0</v>
      </c>
      <c r="AZ91" s="17">
        <v>0</v>
      </c>
      <c r="BA91" s="17">
        <v>0</v>
      </c>
      <c r="BB91" s="17">
        <v>0</v>
      </c>
      <c r="BC91" s="17">
        <v>0</v>
      </c>
      <c r="BD91" s="17">
        <v>0</v>
      </c>
      <c r="BE91" s="17">
        <v>1.2129938495999997</v>
      </c>
      <c r="BF91" s="17">
        <v>0</v>
      </c>
      <c r="BG91" s="17">
        <v>0</v>
      </c>
      <c r="BH91" s="17">
        <v>0</v>
      </c>
      <c r="BI91" s="17">
        <v>0</v>
      </c>
      <c r="BJ91" s="17">
        <v>0</v>
      </c>
      <c r="BK91" s="17">
        <v>0</v>
      </c>
      <c r="BL91" s="17">
        <v>0</v>
      </c>
      <c r="BM91" s="17">
        <v>0</v>
      </c>
      <c r="BN91" s="17">
        <v>0</v>
      </c>
      <c r="BO91" s="17">
        <v>0</v>
      </c>
      <c r="BP91" s="17">
        <v>0</v>
      </c>
      <c r="BQ91" s="17">
        <v>0</v>
      </c>
      <c r="BR91" s="17">
        <v>0</v>
      </c>
      <c r="BS91" s="17">
        <v>0</v>
      </c>
      <c r="BT91" s="17">
        <v>0</v>
      </c>
      <c r="BU91" s="17">
        <v>0</v>
      </c>
      <c r="BV91" s="17">
        <v>0</v>
      </c>
      <c r="BW91" s="17">
        <v>0</v>
      </c>
      <c r="BX91" s="17">
        <v>0</v>
      </c>
      <c r="BY91" s="17">
        <v>0</v>
      </c>
      <c r="BZ91" s="17">
        <v>0</v>
      </c>
      <c r="CA91" s="17">
        <v>0</v>
      </c>
      <c r="CB91" s="17">
        <v>0</v>
      </c>
      <c r="CC91" s="17">
        <v>0</v>
      </c>
      <c r="CD91" s="17">
        <v>0</v>
      </c>
      <c r="CE91" s="17">
        <v>0</v>
      </c>
      <c r="CF91" s="17">
        <v>0</v>
      </c>
      <c r="CG91" s="17">
        <v>0</v>
      </c>
      <c r="CH91" s="17">
        <v>0</v>
      </c>
      <c r="CI91" s="17">
        <v>0</v>
      </c>
      <c r="CJ91" s="17">
        <v>0</v>
      </c>
      <c r="CK91" s="18">
        <v>0</v>
      </c>
    </row>
    <row r="92" spans="1:89">
      <c r="A92" s="5" t="s">
        <v>4</v>
      </c>
      <c r="B92" s="44" t="s">
        <v>5</v>
      </c>
      <c r="C92" s="6" t="s">
        <v>93</v>
      </c>
      <c r="D92" s="5">
        <v>77</v>
      </c>
      <c r="E92" s="31">
        <v>0.10672823577101562</v>
      </c>
      <c r="F92" s="38">
        <f t="shared" si="6"/>
        <v>0</v>
      </c>
      <c r="J92" s="44">
        <v>77</v>
      </c>
      <c r="K92" s="73">
        <v>-3.1214200000000001</v>
      </c>
      <c r="L92" s="17">
        <f t="shared" si="4"/>
        <v>9.7432628163999997</v>
      </c>
      <c r="M92" s="52">
        <f t="shared" si="7"/>
        <v>0</v>
      </c>
      <c r="N92" s="18">
        <f t="shared" si="5"/>
        <v>0</v>
      </c>
      <c r="R92" s="60">
        <v>3.4022948883541598E-2</v>
      </c>
      <c r="S92" s="16">
        <v>17</v>
      </c>
      <c r="T92" s="17">
        <v>29</v>
      </c>
      <c r="U92" s="18">
        <v>0.125</v>
      </c>
      <c r="W92" s="16">
        <v>1</v>
      </c>
      <c r="X92" s="17">
        <v>0</v>
      </c>
      <c r="Y92" s="17">
        <v>0</v>
      </c>
      <c r="Z92" s="17">
        <v>0</v>
      </c>
      <c r="AA92" s="17">
        <v>0</v>
      </c>
      <c r="AB92" s="17">
        <v>0</v>
      </c>
      <c r="AC92" s="17">
        <v>0</v>
      </c>
      <c r="AD92" s="17">
        <v>0</v>
      </c>
      <c r="AE92" s="17">
        <v>0</v>
      </c>
      <c r="AF92" s="17">
        <v>0</v>
      </c>
      <c r="AG92" s="18">
        <v>0</v>
      </c>
      <c r="AI92" s="16">
        <v>1</v>
      </c>
      <c r="AJ92" s="17">
        <v>0</v>
      </c>
      <c r="AK92" s="17">
        <v>0</v>
      </c>
      <c r="AL92" s="17">
        <v>0</v>
      </c>
      <c r="AM92" s="17">
        <v>0</v>
      </c>
      <c r="AN92" s="17">
        <v>0</v>
      </c>
      <c r="AO92" s="17">
        <v>0</v>
      </c>
      <c r="AP92" s="17">
        <v>0</v>
      </c>
      <c r="AQ92" s="17">
        <v>0</v>
      </c>
      <c r="AR92" s="17">
        <v>0</v>
      </c>
      <c r="AS92" s="17">
        <v>0</v>
      </c>
      <c r="AT92" s="17">
        <v>-3.1214200000000001</v>
      </c>
      <c r="AU92" s="17">
        <v>0</v>
      </c>
      <c r="AV92" s="17">
        <v>0</v>
      </c>
      <c r="AW92" s="17">
        <v>0</v>
      </c>
      <c r="AX92" s="17">
        <v>0</v>
      </c>
      <c r="AY92" s="17">
        <v>0</v>
      </c>
      <c r="AZ92" s="17">
        <v>0</v>
      </c>
      <c r="BA92" s="17">
        <v>0</v>
      </c>
      <c r="BB92" s="17">
        <v>0</v>
      </c>
      <c r="BC92" s="17">
        <v>0</v>
      </c>
      <c r="BD92" s="17">
        <v>0</v>
      </c>
      <c r="BE92" s="17">
        <v>9.7432628163999997</v>
      </c>
      <c r="BF92" s="17">
        <v>0</v>
      </c>
      <c r="BG92" s="17">
        <v>0</v>
      </c>
      <c r="BH92" s="17">
        <v>0</v>
      </c>
      <c r="BI92" s="17">
        <v>0</v>
      </c>
      <c r="BJ92" s="17">
        <v>0</v>
      </c>
      <c r="BK92" s="17">
        <v>0</v>
      </c>
      <c r="BL92" s="17">
        <v>0</v>
      </c>
      <c r="BM92" s="17">
        <v>0</v>
      </c>
      <c r="BN92" s="17">
        <v>0</v>
      </c>
      <c r="BO92" s="17">
        <v>0</v>
      </c>
      <c r="BP92" s="17">
        <v>0</v>
      </c>
      <c r="BQ92" s="17">
        <v>0</v>
      </c>
      <c r="BR92" s="17">
        <v>0</v>
      </c>
      <c r="BS92" s="17">
        <v>0</v>
      </c>
      <c r="BT92" s="17">
        <v>0</v>
      </c>
      <c r="BU92" s="17">
        <v>0</v>
      </c>
      <c r="BV92" s="17">
        <v>0</v>
      </c>
      <c r="BW92" s="17">
        <v>0</v>
      </c>
      <c r="BX92" s="17">
        <v>0</v>
      </c>
      <c r="BY92" s="17">
        <v>0</v>
      </c>
      <c r="BZ92" s="17">
        <v>0</v>
      </c>
      <c r="CA92" s="17">
        <v>0</v>
      </c>
      <c r="CB92" s="17">
        <v>0</v>
      </c>
      <c r="CC92" s="17">
        <v>0</v>
      </c>
      <c r="CD92" s="17">
        <v>0</v>
      </c>
      <c r="CE92" s="17">
        <v>0</v>
      </c>
      <c r="CF92" s="17">
        <v>0</v>
      </c>
      <c r="CG92" s="17">
        <v>0</v>
      </c>
      <c r="CH92" s="17">
        <v>0</v>
      </c>
      <c r="CI92" s="17">
        <v>0</v>
      </c>
      <c r="CJ92" s="17">
        <v>0</v>
      </c>
      <c r="CK92" s="18">
        <v>0</v>
      </c>
    </row>
    <row r="93" spans="1:89">
      <c r="A93" s="5" t="s">
        <v>7</v>
      </c>
      <c r="B93" s="44" t="s">
        <v>84</v>
      </c>
      <c r="C93" s="6" t="s">
        <v>85</v>
      </c>
      <c r="D93" s="5">
        <v>78</v>
      </c>
      <c r="E93" s="31">
        <v>0.18441468806310313</v>
      </c>
      <c r="F93" s="38">
        <f t="shared" si="6"/>
        <v>5162.2032094654696</v>
      </c>
      <c r="J93" s="44">
        <v>78</v>
      </c>
      <c r="K93" s="73">
        <v>-1.62141</v>
      </c>
      <c r="L93" s="17">
        <f t="shared" si="4"/>
        <v>2.6289703880999999</v>
      </c>
      <c r="M93" s="52">
        <f t="shared" si="7"/>
        <v>0</v>
      </c>
      <c r="N93" s="18">
        <f t="shared" si="5"/>
        <v>0</v>
      </c>
      <c r="R93" s="60">
        <v>0</v>
      </c>
      <c r="S93" s="16">
        <v>17</v>
      </c>
      <c r="T93" s="17">
        <v>72</v>
      </c>
      <c r="U93" s="18">
        <v>0.125</v>
      </c>
      <c r="W93" s="16">
        <v>0</v>
      </c>
      <c r="X93" s="17">
        <v>0</v>
      </c>
      <c r="Y93" s="17">
        <v>0</v>
      </c>
      <c r="Z93" s="17">
        <v>0</v>
      </c>
      <c r="AA93" s="17">
        <v>0</v>
      </c>
      <c r="AB93" s="17">
        <v>0</v>
      </c>
      <c r="AC93" s="17">
        <v>0</v>
      </c>
      <c r="AD93" s="17">
        <v>0</v>
      </c>
      <c r="AE93" s="17">
        <v>0</v>
      </c>
      <c r="AF93" s="17">
        <v>1</v>
      </c>
      <c r="AG93" s="18">
        <v>0</v>
      </c>
      <c r="AI93" s="16">
        <v>0</v>
      </c>
      <c r="AJ93" s="17">
        <v>0</v>
      </c>
      <c r="AK93" s="17">
        <v>0</v>
      </c>
      <c r="AL93" s="17">
        <v>0</v>
      </c>
      <c r="AM93" s="17">
        <v>0</v>
      </c>
      <c r="AN93" s="17">
        <v>0</v>
      </c>
      <c r="AO93" s="17">
        <v>0</v>
      </c>
      <c r="AP93" s="17">
        <v>0</v>
      </c>
      <c r="AQ93" s="17">
        <v>0</v>
      </c>
      <c r="AR93" s="17">
        <v>1</v>
      </c>
      <c r="AS93" s="17">
        <v>0</v>
      </c>
      <c r="AT93" s="17">
        <v>0</v>
      </c>
      <c r="AU93" s="17">
        <v>0</v>
      </c>
      <c r="AV93" s="17">
        <v>0</v>
      </c>
      <c r="AW93" s="17">
        <v>0</v>
      </c>
      <c r="AX93" s="17">
        <v>0</v>
      </c>
      <c r="AY93" s="17">
        <v>0</v>
      </c>
      <c r="AZ93" s="17">
        <v>0</v>
      </c>
      <c r="BA93" s="17">
        <v>0</v>
      </c>
      <c r="BB93" s="17">
        <v>0</v>
      </c>
      <c r="BC93" s="17">
        <v>-1.62141</v>
      </c>
      <c r="BD93" s="17">
        <v>0</v>
      </c>
      <c r="BE93" s="17">
        <v>0</v>
      </c>
      <c r="BF93" s="17">
        <v>0</v>
      </c>
      <c r="BG93" s="17">
        <v>0</v>
      </c>
      <c r="BH93" s="17">
        <v>0</v>
      </c>
      <c r="BI93" s="17">
        <v>0</v>
      </c>
      <c r="BJ93" s="17">
        <v>0</v>
      </c>
      <c r="BK93" s="17">
        <v>0</v>
      </c>
      <c r="BL93" s="17">
        <v>0</v>
      </c>
      <c r="BM93" s="17">
        <v>0</v>
      </c>
      <c r="BN93" s="17">
        <v>2.6289703880999999</v>
      </c>
      <c r="BO93" s="17">
        <v>0</v>
      </c>
      <c r="BP93" s="17">
        <v>0</v>
      </c>
      <c r="BQ93" s="17">
        <v>0</v>
      </c>
      <c r="BR93" s="17">
        <v>0</v>
      </c>
      <c r="BS93" s="17">
        <v>0</v>
      </c>
      <c r="BT93" s="17">
        <v>0</v>
      </c>
      <c r="BU93" s="17">
        <v>0</v>
      </c>
      <c r="BV93" s="17">
        <v>0</v>
      </c>
      <c r="BW93" s="17">
        <v>0</v>
      </c>
      <c r="BX93" s="17">
        <v>0</v>
      </c>
      <c r="BY93" s="17">
        <v>0</v>
      </c>
      <c r="BZ93" s="17">
        <v>0</v>
      </c>
      <c r="CA93" s="17">
        <v>0</v>
      </c>
      <c r="CB93" s="17">
        <v>0</v>
      </c>
      <c r="CC93" s="17">
        <v>0</v>
      </c>
      <c r="CD93" s="17">
        <v>0</v>
      </c>
      <c r="CE93" s="17">
        <v>0</v>
      </c>
      <c r="CF93" s="17">
        <v>0</v>
      </c>
      <c r="CG93" s="17">
        <v>0</v>
      </c>
      <c r="CH93" s="17">
        <v>0</v>
      </c>
      <c r="CI93" s="17">
        <v>0</v>
      </c>
      <c r="CJ93" s="17">
        <v>0</v>
      </c>
      <c r="CK93" s="18">
        <v>0</v>
      </c>
    </row>
    <row r="94" spans="1:89">
      <c r="A94" s="5" t="s">
        <v>7</v>
      </c>
      <c r="B94" s="44" t="s">
        <v>84</v>
      </c>
      <c r="C94" s="6" t="s">
        <v>87</v>
      </c>
      <c r="D94" s="5">
        <v>79</v>
      </c>
      <c r="E94" s="31">
        <v>0.1898155878103801</v>
      </c>
      <c r="F94" s="38">
        <f t="shared" si="6"/>
        <v>5972.3381715570167</v>
      </c>
      <c r="J94" s="44">
        <v>79</v>
      </c>
      <c r="K94" s="73">
        <v>-0.26931699999999997</v>
      </c>
      <c r="L94" s="17">
        <f t="shared" si="4"/>
        <v>7.2531646488999985E-2</v>
      </c>
      <c r="M94" s="52">
        <f t="shared" si="7"/>
        <v>0</v>
      </c>
      <c r="N94" s="18">
        <f t="shared" si="5"/>
        <v>0</v>
      </c>
      <c r="R94" s="60">
        <v>0</v>
      </c>
      <c r="S94" s="16">
        <v>17</v>
      </c>
      <c r="T94" s="17">
        <v>74</v>
      </c>
      <c r="U94" s="18">
        <v>0.125</v>
      </c>
      <c r="W94" s="16">
        <v>0</v>
      </c>
      <c r="X94" s="17">
        <v>0</v>
      </c>
      <c r="Y94" s="17">
        <v>0</v>
      </c>
      <c r="Z94" s="17">
        <v>0</v>
      </c>
      <c r="AA94" s="17">
        <v>0</v>
      </c>
      <c r="AB94" s="17">
        <v>0</v>
      </c>
      <c r="AC94" s="17">
        <v>0</v>
      </c>
      <c r="AD94" s="17">
        <v>0</v>
      </c>
      <c r="AE94" s="17">
        <v>0</v>
      </c>
      <c r="AF94" s="17">
        <v>1</v>
      </c>
      <c r="AG94" s="18">
        <v>0</v>
      </c>
      <c r="AI94" s="16">
        <v>0</v>
      </c>
      <c r="AJ94" s="17">
        <v>0</v>
      </c>
      <c r="AK94" s="17">
        <v>0</v>
      </c>
      <c r="AL94" s="17">
        <v>0</v>
      </c>
      <c r="AM94" s="17">
        <v>0</v>
      </c>
      <c r="AN94" s="17">
        <v>0</v>
      </c>
      <c r="AO94" s="17">
        <v>0</v>
      </c>
      <c r="AP94" s="17">
        <v>0</v>
      </c>
      <c r="AQ94" s="17">
        <v>0</v>
      </c>
      <c r="AR94" s="17">
        <v>1</v>
      </c>
      <c r="AS94" s="17">
        <v>0</v>
      </c>
      <c r="AT94" s="17">
        <v>0</v>
      </c>
      <c r="AU94" s="17">
        <v>0</v>
      </c>
      <c r="AV94" s="17">
        <v>0</v>
      </c>
      <c r="AW94" s="17">
        <v>0</v>
      </c>
      <c r="AX94" s="17">
        <v>0</v>
      </c>
      <c r="AY94" s="17">
        <v>0</v>
      </c>
      <c r="AZ94" s="17">
        <v>0</v>
      </c>
      <c r="BA94" s="17">
        <v>0</v>
      </c>
      <c r="BB94" s="17">
        <v>0</v>
      </c>
      <c r="BC94" s="17">
        <v>-0.26931699999999997</v>
      </c>
      <c r="BD94" s="17">
        <v>0</v>
      </c>
      <c r="BE94" s="17">
        <v>0</v>
      </c>
      <c r="BF94" s="17">
        <v>0</v>
      </c>
      <c r="BG94" s="17">
        <v>0</v>
      </c>
      <c r="BH94" s="17">
        <v>0</v>
      </c>
      <c r="BI94" s="17">
        <v>0</v>
      </c>
      <c r="BJ94" s="17">
        <v>0</v>
      </c>
      <c r="BK94" s="17">
        <v>0</v>
      </c>
      <c r="BL94" s="17">
        <v>0</v>
      </c>
      <c r="BM94" s="17">
        <v>0</v>
      </c>
      <c r="BN94" s="17">
        <v>7.2531646488999985E-2</v>
      </c>
      <c r="BO94" s="17">
        <v>0</v>
      </c>
      <c r="BP94" s="17">
        <v>0</v>
      </c>
      <c r="BQ94" s="17">
        <v>0</v>
      </c>
      <c r="BR94" s="17">
        <v>0</v>
      </c>
      <c r="BS94" s="17">
        <v>0</v>
      </c>
      <c r="BT94" s="17">
        <v>0</v>
      </c>
      <c r="BU94" s="17">
        <v>0</v>
      </c>
      <c r="BV94" s="17">
        <v>0</v>
      </c>
      <c r="BW94" s="17">
        <v>0</v>
      </c>
      <c r="BX94" s="17">
        <v>0</v>
      </c>
      <c r="BY94" s="17">
        <v>0</v>
      </c>
      <c r="BZ94" s="17">
        <v>0</v>
      </c>
      <c r="CA94" s="17">
        <v>0</v>
      </c>
      <c r="CB94" s="17">
        <v>0</v>
      </c>
      <c r="CC94" s="17">
        <v>0</v>
      </c>
      <c r="CD94" s="17">
        <v>0</v>
      </c>
      <c r="CE94" s="17">
        <v>0</v>
      </c>
      <c r="CF94" s="17">
        <v>0</v>
      </c>
      <c r="CG94" s="17">
        <v>0</v>
      </c>
      <c r="CH94" s="17">
        <v>0</v>
      </c>
      <c r="CI94" s="17">
        <v>0</v>
      </c>
      <c r="CJ94" s="17">
        <v>0</v>
      </c>
      <c r="CK94" s="18">
        <v>0</v>
      </c>
    </row>
    <row r="95" spans="1:89">
      <c r="A95" s="5" t="s">
        <v>7</v>
      </c>
      <c r="B95" s="44" t="s">
        <v>84</v>
      </c>
      <c r="C95" s="6" t="s">
        <v>88</v>
      </c>
      <c r="D95" s="5">
        <v>80</v>
      </c>
      <c r="E95" s="31">
        <v>0.19072642373431448</v>
      </c>
      <c r="F95" s="38">
        <f t="shared" si="6"/>
        <v>6108.9635601471718</v>
      </c>
      <c r="J95" s="44">
        <v>80</v>
      </c>
      <c r="K95" s="73">
        <v>-0.15041499999999999</v>
      </c>
      <c r="L95" s="17">
        <f t="shared" si="4"/>
        <v>2.2624672224999996E-2</v>
      </c>
      <c r="M95" s="52">
        <f t="shared" si="7"/>
        <v>0</v>
      </c>
      <c r="N95" s="18">
        <f t="shared" si="5"/>
        <v>0</v>
      </c>
      <c r="R95" s="60">
        <v>0</v>
      </c>
      <c r="S95" s="16">
        <v>18</v>
      </c>
      <c r="T95" s="17">
        <v>17</v>
      </c>
      <c r="U95" s="18">
        <v>0.16666666666666666</v>
      </c>
      <c r="W95" s="16">
        <v>0</v>
      </c>
      <c r="X95" s="17">
        <v>0</v>
      </c>
      <c r="Y95" s="17">
        <v>0</v>
      </c>
      <c r="Z95" s="17">
        <v>0</v>
      </c>
      <c r="AA95" s="17">
        <v>0</v>
      </c>
      <c r="AB95" s="17">
        <v>0</v>
      </c>
      <c r="AC95" s="17">
        <v>0</v>
      </c>
      <c r="AD95" s="17">
        <v>0</v>
      </c>
      <c r="AE95" s="17">
        <v>0</v>
      </c>
      <c r="AF95" s="17">
        <v>1</v>
      </c>
      <c r="AG95" s="18">
        <v>0</v>
      </c>
      <c r="AI95" s="16">
        <v>0</v>
      </c>
      <c r="AJ95" s="17">
        <v>0</v>
      </c>
      <c r="AK95" s="17">
        <v>0</v>
      </c>
      <c r="AL95" s="17">
        <v>0</v>
      </c>
      <c r="AM95" s="17">
        <v>0</v>
      </c>
      <c r="AN95" s="17">
        <v>0</v>
      </c>
      <c r="AO95" s="17">
        <v>0</v>
      </c>
      <c r="AP95" s="17">
        <v>0</v>
      </c>
      <c r="AQ95" s="17">
        <v>0</v>
      </c>
      <c r="AR95" s="17">
        <v>1</v>
      </c>
      <c r="AS95" s="17">
        <v>0</v>
      </c>
      <c r="AT95" s="17">
        <v>0</v>
      </c>
      <c r="AU95" s="17">
        <v>0</v>
      </c>
      <c r="AV95" s="17">
        <v>0</v>
      </c>
      <c r="AW95" s="17">
        <v>0</v>
      </c>
      <c r="AX95" s="17">
        <v>0</v>
      </c>
      <c r="AY95" s="17">
        <v>0</v>
      </c>
      <c r="AZ95" s="17">
        <v>0</v>
      </c>
      <c r="BA95" s="17">
        <v>0</v>
      </c>
      <c r="BB95" s="17">
        <v>0</v>
      </c>
      <c r="BC95" s="17">
        <v>-0.15041499999999999</v>
      </c>
      <c r="BD95" s="17">
        <v>0</v>
      </c>
      <c r="BE95" s="17">
        <v>0</v>
      </c>
      <c r="BF95" s="17">
        <v>0</v>
      </c>
      <c r="BG95" s="17">
        <v>0</v>
      </c>
      <c r="BH95" s="17">
        <v>0</v>
      </c>
      <c r="BI95" s="17">
        <v>0</v>
      </c>
      <c r="BJ95" s="17">
        <v>0</v>
      </c>
      <c r="BK95" s="17">
        <v>0</v>
      </c>
      <c r="BL95" s="17">
        <v>0</v>
      </c>
      <c r="BM95" s="17">
        <v>0</v>
      </c>
      <c r="BN95" s="17">
        <v>2.2624672224999996E-2</v>
      </c>
      <c r="BO95" s="17">
        <v>0</v>
      </c>
      <c r="BP95" s="17">
        <v>0</v>
      </c>
      <c r="BQ95" s="17">
        <v>0</v>
      </c>
      <c r="BR95" s="17">
        <v>0</v>
      </c>
      <c r="BS95" s="17">
        <v>0</v>
      </c>
      <c r="BT95" s="17">
        <v>0</v>
      </c>
      <c r="BU95" s="17">
        <v>0</v>
      </c>
      <c r="BV95" s="17">
        <v>0</v>
      </c>
      <c r="BW95" s="17">
        <v>0</v>
      </c>
      <c r="BX95" s="17">
        <v>0</v>
      </c>
      <c r="BY95" s="17">
        <v>0</v>
      </c>
      <c r="BZ95" s="17">
        <v>0</v>
      </c>
      <c r="CA95" s="17">
        <v>0</v>
      </c>
      <c r="CB95" s="17">
        <v>0</v>
      </c>
      <c r="CC95" s="17">
        <v>0</v>
      </c>
      <c r="CD95" s="17">
        <v>0</v>
      </c>
      <c r="CE95" s="17">
        <v>0</v>
      </c>
      <c r="CF95" s="17">
        <v>0</v>
      </c>
      <c r="CG95" s="17">
        <v>0</v>
      </c>
      <c r="CH95" s="17">
        <v>0</v>
      </c>
      <c r="CI95" s="17">
        <v>0</v>
      </c>
      <c r="CJ95" s="17">
        <v>0</v>
      </c>
      <c r="CK95" s="18">
        <v>0</v>
      </c>
    </row>
    <row r="96" spans="1:89">
      <c r="A96" s="5" t="s">
        <v>7</v>
      </c>
      <c r="B96" s="44" t="s">
        <v>84</v>
      </c>
      <c r="C96" s="6" t="s">
        <v>89</v>
      </c>
      <c r="D96" s="5">
        <v>81</v>
      </c>
      <c r="E96" s="31">
        <v>0.17950607121084763</v>
      </c>
      <c r="F96" s="38">
        <f t="shared" si="6"/>
        <v>4425.910681627146</v>
      </c>
      <c r="J96" s="44">
        <v>81</v>
      </c>
      <c r="K96" s="73">
        <v>-2.72193</v>
      </c>
      <c r="L96" s="17">
        <f t="shared" si="4"/>
        <v>7.4089029248999996</v>
      </c>
      <c r="M96" s="52">
        <f t="shared" si="7"/>
        <v>0</v>
      </c>
      <c r="N96" s="18">
        <f t="shared" si="5"/>
        <v>0</v>
      </c>
      <c r="R96" s="60">
        <v>0</v>
      </c>
      <c r="S96" s="16">
        <v>18</v>
      </c>
      <c r="T96" s="17">
        <v>20</v>
      </c>
      <c r="U96" s="18">
        <v>0.16666666666666666</v>
      </c>
      <c r="W96" s="16">
        <v>0</v>
      </c>
      <c r="X96" s="17">
        <v>0</v>
      </c>
      <c r="Y96" s="17">
        <v>0</v>
      </c>
      <c r="Z96" s="17">
        <v>0</v>
      </c>
      <c r="AA96" s="17">
        <v>0</v>
      </c>
      <c r="AB96" s="17">
        <v>0</v>
      </c>
      <c r="AC96" s="17">
        <v>0</v>
      </c>
      <c r="AD96" s="17">
        <v>0</v>
      </c>
      <c r="AE96" s="17">
        <v>0</v>
      </c>
      <c r="AF96" s="17">
        <v>1</v>
      </c>
      <c r="AG96" s="18">
        <v>0</v>
      </c>
      <c r="AI96" s="16">
        <v>0</v>
      </c>
      <c r="AJ96" s="17">
        <v>0</v>
      </c>
      <c r="AK96" s="17">
        <v>0</v>
      </c>
      <c r="AL96" s="17">
        <v>0</v>
      </c>
      <c r="AM96" s="17">
        <v>0</v>
      </c>
      <c r="AN96" s="17">
        <v>0</v>
      </c>
      <c r="AO96" s="17">
        <v>0</v>
      </c>
      <c r="AP96" s="17">
        <v>0</v>
      </c>
      <c r="AQ96" s="17">
        <v>0</v>
      </c>
      <c r="AR96" s="17">
        <v>1</v>
      </c>
      <c r="AS96" s="17">
        <v>0</v>
      </c>
      <c r="AT96" s="17">
        <v>0</v>
      </c>
      <c r="AU96" s="17">
        <v>0</v>
      </c>
      <c r="AV96" s="17">
        <v>0</v>
      </c>
      <c r="AW96" s="17">
        <v>0</v>
      </c>
      <c r="AX96" s="17">
        <v>0</v>
      </c>
      <c r="AY96" s="17">
        <v>0</v>
      </c>
      <c r="AZ96" s="17">
        <v>0</v>
      </c>
      <c r="BA96" s="17">
        <v>0</v>
      </c>
      <c r="BB96" s="17">
        <v>0</v>
      </c>
      <c r="BC96" s="17">
        <v>-2.72193</v>
      </c>
      <c r="BD96" s="17">
        <v>0</v>
      </c>
      <c r="BE96" s="17">
        <v>0</v>
      </c>
      <c r="BF96" s="17">
        <v>0</v>
      </c>
      <c r="BG96" s="17">
        <v>0</v>
      </c>
      <c r="BH96" s="17">
        <v>0</v>
      </c>
      <c r="BI96" s="17">
        <v>0</v>
      </c>
      <c r="BJ96" s="17">
        <v>0</v>
      </c>
      <c r="BK96" s="17">
        <v>0</v>
      </c>
      <c r="BL96" s="17">
        <v>0</v>
      </c>
      <c r="BM96" s="17">
        <v>0</v>
      </c>
      <c r="BN96" s="17">
        <v>7.4089029248999996</v>
      </c>
      <c r="BO96" s="17">
        <v>0</v>
      </c>
      <c r="BP96" s="17">
        <v>0</v>
      </c>
      <c r="BQ96" s="17">
        <v>0</v>
      </c>
      <c r="BR96" s="17">
        <v>0</v>
      </c>
      <c r="BS96" s="17">
        <v>0</v>
      </c>
      <c r="BT96" s="17">
        <v>0</v>
      </c>
      <c r="BU96" s="17">
        <v>0</v>
      </c>
      <c r="BV96" s="17">
        <v>0</v>
      </c>
      <c r="BW96" s="17">
        <v>0</v>
      </c>
      <c r="BX96" s="17">
        <v>0</v>
      </c>
      <c r="BY96" s="17">
        <v>0</v>
      </c>
      <c r="BZ96" s="17">
        <v>0</v>
      </c>
      <c r="CA96" s="17">
        <v>0</v>
      </c>
      <c r="CB96" s="17">
        <v>0</v>
      </c>
      <c r="CC96" s="17">
        <v>0</v>
      </c>
      <c r="CD96" s="17">
        <v>0</v>
      </c>
      <c r="CE96" s="17">
        <v>0</v>
      </c>
      <c r="CF96" s="17">
        <v>0</v>
      </c>
      <c r="CG96" s="17">
        <v>0</v>
      </c>
      <c r="CH96" s="17">
        <v>0</v>
      </c>
      <c r="CI96" s="17">
        <v>0</v>
      </c>
      <c r="CJ96" s="17">
        <v>0</v>
      </c>
      <c r="CK96" s="18">
        <v>0</v>
      </c>
    </row>
    <row r="97" spans="1:89">
      <c r="A97" s="5" t="s">
        <v>7</v>
      </c>
      <c r="B97" s="44" t="s">
        <v>84</v>
      </c>
      <c r="C97" s="6" t="s">
        <v>95</v>
      </c>
      <c r="D97" s="5">
        <v>82</v>
      </c>
      <c r="E97" s="31">
        <v>0.19071357783672832</v>
      </c>
      <c r="F97" s="38">
        <f t="shared" si="6"/>
        <v>6107.0366755092491</v>
      </c>
      <c r="J97" s="44">
        <v>82</v>
      </c>
      <c r="K97" s="73">
        <v>-0.261133</v>
      </c>
      <c r="L97" s="17">
        <f t="shared" si="4"/>
        <v>6.8190443688999999E-2</v>
      </c>
      <c r="M97" s="52">
        <f t="shared" si="7"/>
        <v>0</v>
      </c>
      <c r="N97" s="18">
        <f t="shared" si="5"/>
        <v>0</v>
      </c>
      <c r="R97" s="60">
        <v>0</v>
      </c>
      <c r="S97" s="16">
        <v>18</v>
      </c>
      <c r="T97" s="17">
        <v>21</v>
      </c>
      <c r="U97" s="18">
        <v>0.16666666666666666</v>
      </c>
      <c r="W97" s="16">
        <v>0</v>
      </c>
      <c r="X97" s="17">
        <v>0</v>
      </c>
      <c r="Y97" s="17">
        <v>0</v>
      </c>
      <c r="Z97" s="17">
        <v>0</v>
      </c>
      <c r="AA97" s="17">
        <v>0</v>
      </c>
      <c r="AB97" s="17">
        <v>0</v>
      </c>
      <c r="AC97" s="17">
        <v>0</v>
      </c>
      <c r="AD97" s="17">
        <v>0</v>
      </c>
      <c r="AE97" s="17">
        <v>0</v>
      </c>
      <c r="AF97" s="17">
        <v>1</v>
      </c>
      <c r="AG97" s="18">
        <v>0</v>
      </c>
      <c r="AI97" s="16">
        <v>0</v>
      </c>
      <c r="AJ97" s="17">
        <v>0</v>
      </c>
      <c r="AK97" s="17">
        <v>0</v>
      </c>
      <c r="AL97" s="17">
        <v>0</v>
      </c>
      <c r="AM97" s="17">
        <v>0</v>
      </c>
      <c r="AN97" s="17">
        <v>0</v>
      </c>
      <c r="AO97" s="17">
        <v>0</v>
      </c>
      <c r="AP97" s="17">
        <v>0</v>
      </c>
      <c r="AQ97" s="17">
        <v>0</v>
      </c>
      <c r="AR97" s="17">
        <v>1</v>
      </c>
      <c r="AS97" s="17">
        <v>0</v>
      </c>
      <c r="AT97" s="17">
        <v>0</v>
      </c>
      <c r="AU97" s="17">
        <v>0</v>
      </c>
      <c r="AV97" s="17">
        <v>0</v>
      </c>
      <c r="AW97" s="17">
        <v>0</v>
      </c>
      <c r="AX97" s="17">
        <v>0</v>
      </c>
      <c r="AY97" s="17">
        <v>0</v>
      </c>
      <c r="AZ97" s="17">
        <v>0</v>
      </c>
      <c r="BA97" s="17">
        <v>0</v>
      </c>
      <c r="BB97" s="17">
        <v>0</v>
      </c>
      <c r="BC97" s="17">
        <v>-0.261133</v>
      </c>
      <c r="BD97" s="17">
        <v>0</v>
      </c>
      <c r="BE97" s="17">
        <v>0</v>
      </c>
      <c r="BF97" s="17">
        <v>0</v>
      </c>
      <c r="BG97" s="17">
        <v>0</v>
      </c>
      <c r="BH97" s="17">
        <v>0</v>
      </c>
      <c r="BI97" s="17">
        <v>0</v>
      </c>
      <c r="BJ97" s="17">
        <v>0</v>
      </c>
      <c r="BK97" s="17">
        <v>0</v>
      </c>
      <c r="BL97" s="17">
        <v>0</v>
      </c>
      <c r="BM97" s="17">
        <v>0</v>
      </c>
      <c r="BN97" s="17">
        <v>6.8190443688999999E-2</v>
      </c>
      <c r="BO97" s="17">
        <v>0</v>
      </c>
      <c r="BP97" s="17">
        <v>0</v>
      </c>
      <c r="BQ97" s="17">
        <v>0</v>
      </c>
      <c r="BR97" s="17">
        <v>0</v>
      </c>
      <c r="BS97" s="17">
        <v>0</v>
      </c>
      <c r="BT97" s="17">
        <v>0</v>
      </c>
      <c r="BU97" s="17">
        <v>0</v>
      </c>
      <c r="BV97" s="17">
        <v>0</v>
      </c>
      <c r="BW97" s="17">
        <v>0</v>
      </c>
      <c r="BX97" s="17">
        <v>0</v>
      </c>
      <c r="BY97" s="17">
        <v>0</v>
      </c>
      <c r="BZ97" s="17">
        <v>0</v>
      </c>
      <c r="CA97" s="17">
        <v>0</v>
      </c>
      <c r="CB97" s="17">
        <v>0</v>
      </c>
      <c r="CC97" s="17">
        <v>0</v>
      </c>
      <c r="CD97" s="17">
        <v>0</v>
      </c>
      <c r="CE97" s="17">
        <v>0</v>
      </c>
      <c r="CF97" s="17">
        <v>0</v>
      </c>
      <c r="CG97" s="17">
        <v>0</v>
      </c>
      <c r="CH97" s="17">
        <v>0</v>
      </c>
      <c r="CI97" s="17">
        <v>0</v>
      </c>
      <c r="CJ97" s="17">
        <v>0</v>
      </c>
      <c r="CK97" s="18">
        <v>0</v>
      </c>
    </row>
    <row r="98" spans="1:89">
      <c r="A98" s="5" t="s">
        <v>7</v>
      </c>
      <c r="B98" s="44" t="s">
        <v>84</v>
      </c>
      <c r="C98" s="6" t="s">
        <v>98</v>
      </c>
      <c r="D98" s="5">
        <v>83</v>
      </c>
      <c r="E98" s="31">
        <v>0.18738324476803422</v>
      </c>
      <c r="F98" s="38">
        <f t="shared" si="6"/>
        <v>5607.4867152051338</v>
      </c>
      <c r="J98" s="44">
        <v>83</v>
      </c>
      <c r="K98" s="73">
        <v>0.26345099999999999</v>
      </c>
      <c r="L98" s="17">
        <f t="shared" si="4"/>
        <v>6.9406429400999989E-2</v>
      </c>
      <c r="M98" s="52">
        <f t="shared" si="7"/>
        <v>0</v>
      </c>
      <c r="N98" s="18">
        <f t="shared" si="5"/>
        <v>0</v>
      </c>
      <c r="R98" s="60">
        <v>0</v>
      </c>
      <c r="S98" s="16">
        <v>18</v>
      </c>
      <c r="T98" s="17">
        <v>25</v>
      </c>
      <c r="U98" s="18">
        <v>0.16666666666666666</v>
      </c>
      <c r="W98" s="16">
        <v>0</v>
      </c>
      <c r="X98" s="17">
        <v>0</v>
      </c>
      <c r="Y98" s="17">
        <v>0</v>
      </c>
      <c r="Z98" s="17">
        <v>0</v>
      </c>
      <c r="AA98" s="17">
        <v>0</v>
      </c>
      <c r="AB98" s="17">
        <v>0</v>
      </c>
      <c r="AC98" s="17">
        <v>0</v>
      </c>
      <c r="AD98" s="17">
        <v>0</v>
      </c>
      <c r="AE98" s="17">
        <v>0</v>
      </c>
      <c r="AF98" s="17">
        <v>1</v>
      </c>
      <c r="AG98" s="18">
        <v>0</v>
      </c>
      <c r="AI98" s="16">
        <v>0</v>
      </c>
      <c r="AJ98" s="17">
        <v>0</v>
      </c>
      <c r="AK98" s="17">
        <v>0</v>
      </c>
      <c r="AL98" s="17">
        <v>0</v>
      </c>
      <c r="AM98" s="17">
        <v>0</v>
      </c>
      <c r="AN98" s="17">
        <v>0</v>
      </c>
      <c r="AO98" s="17">
        <v>0</v>
      </c>
      <c r="AP98" s="17">
        <v>0</v>
      </c>
      <c r="AQ98" s="17">
        <v>0</v>
      </c>
      <c r="AR98" s="17">
        <v>1</v>
      </c>
      <c r="AS98" s="17">
        <v>0</v>
      </c>
      <c r="AT98" s="17">
        <v>0</v>
      </c>
      <c r="AU98" s="17">
        <v>0</v>
      </c>
      <c r="AV98" s="17">
        <v>0</v>
      </c>
      <c r="AW98" s="17">
        <v>0</v>
      </c>
      <c r="AX98" s="17">
        <v>0</v>
      </c>
      <c r="AY98" s="17">
        <v>0</v>
      </c>
      <c r="AZ98" s="17">
        <v>0</v>
      </c>
      <c r="BA98" s="17">
        <v>0</v>
      </c>
      <c r="BB98" s="17">
        <v>0</v>
      </c>
      <c r="BC98" s="17">
        <v>0.26345099999999999</v>
      </c>
      <c r="BD98" s="17">
        <v>0</v>
      </c>
      <c r="BE98" s="17">
        <v>0</v>
      </c>
      <c r="BF98" s="17">
        <v>0</v>
      </c>
      <c r="BG98" s="17">
        <v>0</v>
      </c>
      <c r="BH98" s="17">
        <v>0</v>
      </c>
      <c r="BI98" s="17">
        <v>0</v>
      </c>
      <c r="BJ98" s="17">
        <v>0</v>
      </c>
      <c r="BK98" s="17">
        <v>0</v>
      </c>
      <c r="BL98" s="17">
        <v>0</v>
      </c>
      <c r="BM98" s="17">
        <v>0</v>
      </c>
      <c r="BN98" s="17">
        <v>6.9406429400999989E-2</v>
      </c>
      <c r="BO98" s="17">
        <v>0</v>
      </c>
      <c r="BP98" s="17">
        <v>0</v>
      </c>
      <c r="BQ98" s="17">
        <v>0</v>
      </c>
      <c r="BR98" s="17">
        <v>0</v>
      </c>
      <c r="BS98" s="17">
        <v>0</v>
      </c>
      <c r="BT98" s="17">
        <v>0</v>
      </c>
      <c r="BU98" s="17">
        <v>0</v>
      </c>
      <c r="BV98" s="17">
        <v>0</v>
      </c>
      <c r="BW98" s="17">
        <v>0</v>
      </c>
      <c r="BX98" s="17">
        <v>0</v>
      </c>
      <c r="BY98" s="17">
        <v>0</v>
      </c>
      <c r="BZ98" s="17">
        <v>0</v>
      </c>
      <c r="CA98" s="17">
        <v>0</v>
      </c>
      <c r="CB98" s="17">
        <v>0</v>
      </c>
      <c r="CC98" s="17">
        <v>0</v>
      </c>
      <c r="CD98" s="17">
        <v>0</v>
      </c>
      <c r="CE98" s="17">
        <v>0</v>
      </c>
      <c r="CF98" s="17">
        <v>0</v>
      </c>
      <c r="CG98" s="17">
        <v>0</v>
      </c>
      <c r="CH98" s="17">
        <v>0</v>
      </c>
      <c r="CI98" s="17">
        <v>0</v>
      </c>
      <c r="CJ98" s="17">
        <v>0</v>
      </c>
      <c r="CK98" s="18">
        <v>0</v>
      </c>
    </row>
    <row r="99" spans="1:89">
      <c r="A99" s="5" t="s">
        <v>7</v>
      </c>
      <c r="B99" s="44" t="s">
        <v>84</v>
      </c>
      <c r="C99" s="6" t="s">
        <v>99</v>
      </c>
      <c r="D99" s="5">
        <v>84</v>
      </c>
      <c r="E99" s="31">
        <v>0.18831499428585952</v>
      </c>
      <c r="F99" s="38">
        <f t="shared" si="6"/>
        <v>5747.2491428789281</v>
      </c>
      <c r="J99" s="44">
        <v>84</v>
      </c>
      <c r="K99" s="73">
        <v>-0.78547299999999998</v>
      </c>
      <c r="L99" s="17">
        <f t="shared" si="4"/>
        <v>0.61696783372899999</v>
      </c>
      <c r="M99" s="52">
        <f t="shared" si="7"/>
        <v>0</v>
      </c>
      <c r="N99" s="18">
        <f t="shared" si="5"/>
        <v>0</v>
      </c>
      <c r="R99" s="60">
        <v>0</v>
      </c>
      <c r="S99" s="16">
        <v>18</v>
      </c>
      <c r="T99" s="17">
        <v>72</v>
      </c>
      <c r="U99" s="18">
        <v>0.16666666666666666</v>
      </c>
      <c r="W99" s="16">
        <v>0</v>
      </c>
      <c r="X99" s="17">
        <v>0</v>
      </c>
      <c r="Y99" s="17">
        <v>0</v>
      </c>
      <c r="Z99" s="17">
        <v>0</v>
      </c>
      <c r="AA99" s="17">
        <v>0</v>
      </c>
      <c r="AB99" s="17">
        <v>0</v>
      </c>
      <c r="AC99" s="17">
        <v>0</v>
      </c>
      <c r="AD99" s="17">
        <v>0</v>
      </c>
      <c r="AE99" s="17">
        <v>0</v>
      </c>
      <c r="AF99" s="17">
        <v>1</v>
      </c>
      <c r="AG99" s="18">
        <v>0</v>
      </c>
      <c r="AI99" s="16">
        <v>0</v>
      </c>
      <c r="AJ99" s="17">
        <v>0</v>
      </c>
      <c r="AK99" s="17">
        <v>0</v>
      </c>
      <c r="AL99" s="17">
        <v>0</v>
      </c>
      <c r="AM99" s="17">
        <v>0</v>
      </c>
      <c r="AN99" s="17">
        <v>0</v>
      </c>
      <c r="AO99" s="17">
        <v>0</v>
      </c>
      <c r="AP99" s="17">
        <v>0</v>
      </c>
      <c r="AQ99" s="17">
        <v>0</v>
      </c>
      <c r="AR99" s="17">
        <v>1</v>
      </c>
      <c r="AS99" s="17">
        <v>0</v>
      </c>
      <c r="AT99" s="17">
        <v>0</v>
      </c>
      <c r="AU99" s="17">
        <v>0</v>
      </c>
      <c r="AV99" s="17">
        <v>0</v>
      </c>
      <c r="AW99" s="17">
        <v>0</v>
      </c>
      <c r="AX99" s="17">
        <v>0</v>
      </c>
      <c r="AY99" s="17">
        <v>0</v>
      </c>
      <c r="AZ99" s="17">
        <v>0</v>
      </c>
      <c r="BA99" s="17">
        <v>0</v>
      </c>
      <c r="BB99" s="17">
        <v>0</v>
      </c>
      <c r="BC99" s="17">
        <v>-0.78547299999999998</v>
      </c>
      <c r="BD99" s="17">
        <v>0</v>
      </c>
      <c r="BE99" s="17">
        <v>0</v>
      </c>
      <c r="BF99" s="17">
        <v>0</v>
      </c>
      <c r="BG99" s="17">
        <v>0</v>
      </c>
      <c r="BH99" s="17">
        <v>0</v>
      </c>
      <c r="BI99" s="17">
        <v>0</v>
      </c>
      <c r="BJ99" s="17">
        <v>0</v>
      </c>
      <c r="BK99" s="17">
        <v>0</v>
      </c>
      <c r="BL99" s="17">
        <v>0</v>
      </c>
      <c r="BM99" s="17">
        <v>0</v>
      </c>
      <c r="BN99" s="17">
        <v>0.61696783372899999</v>
      </c>
      <c r="BO99" s="17">
        <v>0</v>
      </c>
      <c r="BP99" s="17">
        <v>0</v>
      </c>
      <c r="BQ99" s="17">
        <v>0</v>
      </c>
      <c r="BR99" s="17">
        <v>0</v>
      </c>
      <c r="BS99" s="17">
        <v>0</v>
      </c>
      <c r="BT99" s="17">
        <v>0</v>
      </c>
      <c r="BU99" s="17">
        <v>0</v>
      </c>
      <c r="BV99" s="17">
        <v>0</v>
      </c>
      <c r="BW99" s="17">
        <v>0</v>
      </c>
      <c r="BX99" s="17">
        <v>0</v>
      </c>
      <c r="BY99" s="17">
        <v>0</v>
      </c>
      <c r="BZ99" s="17">
        <v>0</v>
      </c>
      <c r="CA99" s="17">
        <v>0</v>
      </c>
      <c r="CB99" s="17">
        <v>0</v>
      </c>
      <c r="CC99" s="17">
        <v>0</v>
      </c>
      <c r="CD99" s="17">
        <v>0</v>
      </c>
      <c r="CE99" s="17">
        <v>0</v>
      </c>
      <c r="CF99" s="17">
        <v>0</v>
      </c>
      <c r="CG99" s="17">
        <v>0</v>
      </c>
      <c r="CH99" s="17">
        <v>0</v>
      </c>
      <c r="CI99" s="17">
        <v>0</v>
      </c>
      <c r="CJ99" s="17">
        <v>0</v>
      </c>
      <c r="CK99" s="18">
        <v>0</v>
      </c>
    </row>
    <row r="100" spans="1:89">
      <c r="A100" s="5" t="s">
        <v>7</v>
      </c>
      <c r="B100" s="44" t="s">
        <v>84</v>
      </c>
      <c r="C100" s="6" t="s">
        <v>100</v>
      </c>
      <c r="D100" s="5">
        <v>85</v>
      </c>
      <c r="E100" s="31">
        <v>0.1925861046228543</v>
      </c>
      <c r="F100" s="38">
        <f t="shared" si="6"/>
        <v>6387.9156934281473</v>
      </c>
      <c r="J100" s="44">
        <v>85</v>
      </c>
      <c r="K100" s="73">
        <v>0.511243</v>
      </c>
      <c r="L100" s="17">
        <f t="shared" si="4"/>
        <v>0.26136940504900003</v>
      </c>
      <c r="M100" s="52">
        <f t="shared" si="7"/>
        <v>0</v>
      </c>
      <c r="N100" s="18">
        <f t="shared" si="5"/>
        <v>0</v>
      </c>
      <c r="R100" s="60">
        <v>0</v>
      </c>
      <c r="S100" s="16">
        <v>18</v>
      </c>
      <c r="T100" s="17">
        <v>73</v>
      </c>
      <c r="U100" s="18">
        <v>0.16666666666666666</v>
      </c>
      <c r="W100" s="16">
        <v>0</v>
      </c>
      <c r="X100" s="17">
        <v>0</v>
      </c>
      <c r="Y100" s="17">
        <v>0</v>
      </c>
      <c r="Z100" s="17">
        <v>0</v>
      </c>
      <c r="AA100" s="17">
        <v>0</v>
      </c>
      <c r="AB100" s="17">
        <v>0</v>
      </c>
      <c r="AC100" s="17">
        <v>0</v>
      </c>
      <c r="AD100" s="17">
        <v>0</v>
      </c>
      <c r="AE100" s="17">
        <v>0</v>
      </c>
      <c r="AF100" s="17">
        <v>1</v>
      </c>
      <c r="AG100" s="18">
        <v>0</v>
      </c>
      <c r="AI100" s="16">
        <v>0</v>
      </c>
      <c r="AJ100" s="17">
        <v>0</v>
      </c>
      <c r="AK100" s="17">
        <v>0</v>
      </c>
      <c r="AL100" s="17">
        <v>0</v>
      </c>
      <c r="AM100" s="17">
        <v>0</v>
      </c>
      <c r="AN100" s="17">
        <v>0</v>
      </c>
      <c r="AO100" s="17">
        <v>0</v>
      </c>
      <c r="AP100" s="17">
        <v>0</v>
      </c>
      <c r="AQ100" s="17">
        <v>0</v>
      </c>
      <c r="AR100" s="17">
        <v>1</v>
      </c>
      <c r="AS100" s="17">
        <v>0</v>
      </c>
      <c r="AT100" s="17">
        <v>0</v>
      </c>
      <c r="AU100" s="17">
        <v>0</v>
      </c>
      <c r="AV100" s="17">
        <v>0</v>
      </c>
      <c r="AW100" s="17">
        <v>0</v>
      </c>
      <c r="AX100" s="17">
        <v>0</v>
      </c>
      <c r="AY100" s="17">
        <v>0</v>
      </c>
      <c r="AZ100" s="17">
        <v>0</v>
      </c>
      <c r="BA100" s="17">
        <v>0</v>
      </c>
      <c r="BB100" s="17">
        <v>0</v>
      </c>
      <c r="BC100" s="17">
        <v>0.511243</v>
      </c>
      <c r="BD100" s="17">
        <v>0</v>
      </c>
      <c r="BE100" s="17">
        <v>0</v>
      </c>
      <c r="BF100" s="17">
        <v>0</v>
      </c>
      <c r="BG100" s="17">
        <v>0</v>
      </c>
      <c r="BH100" s="17">
        <v>0</v>
      </c>
      <c r="BI100" s="17">
        <v>0</v>
      </c>
      <c r="BJ100" s="17">
        <v>0</v>
      </c>
      <c r="BK100" s="17">
        <v>0</v>
      </c>
      <c r="BL100" s="17">
        <v>0</v>
      </c>
      <c r="BM100" s="17">
        <v>0</v>
      </c>
      <c r="BN100" s="17">
        <v>0.26136940504900003</v>
      </c>
      <c r="BO100" s="17">
        <v>0</v>
      </c>
      <c r="BP100" s="17">
        <v>0</v>
      </c>
      <c r="BQ100" s="17">
        <v>0</v>
      </c>
      <c r="BR100" s="17">
        <v>0</v>
      </c>
      <c r="BS100" s="17">
        <v>0</v>
      </c>
      <c r="BT100" s="17">
        <v>0</v>
      </c>
      <c r="BU100" s="17">
        <v>0</v>
      </c>
      <c r="BV100" s="17">
        <v>0</v>
      </c>
      <c r="BW100" s="17">
        <v>0</v>
      </c>
      <c r="BX100" s="17">
        <v>0</v>
      </c>
      <c r="BY100" s="17">
        <v>0</v>
      </c>
      <c r="BZ100" s="17">
        <v>0</v>
      </c>
      <c r="CA100" s="17">
        <v>0</v>
      </c>
      <c r="CB100" s="17">
        <v>0</v>
      </c>
      <c r="CC100" s="17">
        <v>0</v>
      </c>
      <c r="CD100" s="17">
        <v>0</v>
      </c>
      <c r="CE100" s="17">
        <v>0</v>
      </c>
      <c r="CF100" s="17">
        <v>0</v>
      </c>
      <c r="CG100" s="17">
        <v>0</v>
      </c>
      <c r="CH100" s="17">
        <v>0</v>
      </c>
      <c r="CI100" s="17">
        <v>0</v>
      </c>
      <c r="CJ100" s="17">
        <v>0</v>
      </c>
      <c r="CK100" s="18">
        <v>0</v>
      </c>
    </row>
    <row r="101" spans="1:89">
      <c r="A101" s="5" t="s">
        <v>7</v>
      </c>
      <c r="B101" s="44" t="s">
        <v>84</v>
      </c>
      <c r="C101" s="6" t="s">
        <v>101</v>
      </c>
      <c r="D101" s="5">
        <v>86</v>
      </c>
      <c r="E101" s="31">
        <v>0.17618238402703507</v>
      </c>
      <c r="F101" s="38">
        <f t="shared" si="6"/>
        <v>3927.3576040552607</v>
      </c>
      <c r="J101" s="44">
        <v>86</v>
      </c>
      <c r="K101" s="73">
        <v>-3.4634399999999999</v>
      </c>
      <c r="L101" s="17">
        <f t="shared" si="4"/>
        <v>11.9954166336</v>
      </c>
      <c r="M101" s="52">
        <f t="shared" si="7"/>
        <v>0</v>
      </c>
      <c r="N101" s="18">
        <f t="shared" si="5"/>
        <v>0</v>
      </c>
      <c r="R101" s="60">
        <v>0</v>
      </c>
      <c r="S101" s="16">
        <v>19</v>
      </c>
      <c r="T101" s="17">
        <v>15</v>
      </c>
      <c r="U101" s="18">
        <v>0.1111111111111111</v>
      </c>
      <c r="W101" s="16">
        <v>0</v>
      </c>
      <c r="X101" s="17">
        <v>0</v>
      </c>
      <c r="Y101" s="17">
        <v>0</v>
      </c>
      <c r="Z101" s="17">
        <v>0</v>
      </c>
      <c r="AA101" s="17">
        <v>0</v>
      </c>
      <c r="AB101" s="17">
        <v>0</v>
      </c>
      <c r="AC101" s="17">
        <v>0</v>
      </c>
      <c r="AD101" s="17">
        <v>0</v>
      </c>
      <c r="AE101" s="17">
        <v>0</v>
      </c>
      <c r="AF101" s="17">
        <v>1</v>
      </c>
      <c r="AG101" s="18">
        <v>0</v>
      </c>
      <c r="AI101" s="16">
        <v>0</v>
      </c>
      <c r="AJ101" s="17">
        <v>0</v>
      </c>
      <c r="AK101" s="17">
        <v>0</v>
      </c>
      <c r="AL101" s="17">
        <v>0</v>
      </c>
      <c r="AM101" s="17">
        <v>0</v>
      </c>
      <c r="AN101" s="17">
        <v>0</v>
      </c>
      <c r="AO101" s="17">
        <v>0</v>
      </c>
      <c r="AP101" s="17">
        <v>0</v>
      </c>
      <c r="AQ101" s="17">
        <v>0</v>
      </c>
      <c r="AR101" s="17">
        <v>1</v>
      </c>
      <c r="AS101" s="17">
        <v>0</v>
      </c>
      <c r="AT101" s="17">
        <v>0</v>
      </c>
      <c r="AU101" s="17">
        <v>0</v>
      </c>
      <c r="AV101" s="17">
        <v>0</v>
      </c>
      <c r="AW101" s="17">
        <v>0</v>
      </c>
      <c r="AX101" s="17">
        <v>0</v>
      </c>
      <c r="AY101" s="17">
        <v>0</v>
      </c>
      <c r="AZ101" s="17">
        <v>0</v>
      </c>
      <c r="BA101" s="17">
        <v>0</v>
      </c>
      <c r="BB101" s="17">
        <v>0</v>
      </c>
      <c r="BC101" s="17">
        <v>-3.4634399999999999</v>
      </c>
      <c r="BD101" s="17">
        <v>0</v>
      </c>
      <c r="BE101" s="17">
        <v>0</v>
      </c>
      <c r="BF101" s="17">
        <v>0</v>
      </c>
      <c r="BG101" s="17">
        <v>0</v>
      </c>
      <c r="BH101" s="17">
        <v>0</v>
      </c>
      <c r="BI101" s="17">
        <v>0</v>
      </c>
      <c r="BJ101" s="17">
        <v>0</v>
      </c>
      <c r="BK101" s="17">
        <v>0</v>
      </c>
      <c r="BL101" s="17">
        <v>0</v>
      </c>
      <c r="BM101" s="17">
        <v>0</v>
      </c>
      <c r="BN101" s="17">
        <v>11.9954166336</v>
      </c>
      <c r="BO101" s="17">
        <v>0</v>
      </c>
      <c r="BP101" s="17">
        <v>0</v>
      </c>
      <c r="BQ101" s="17">
        <v>0</v>
      </c>
      <c r="BR101" s="17">
        <v>0</v>
      </c>
      <c r="BS101" s="17">
        <v>0</v>
      </c>
      <c r="BT101" s="17">
        <v>0</v>
      </c>
      <c r="BU101" s="17">
        <v>0</v>
      </c>
      <c r="BV101" s="17">
        <v>0</v>
      </c>
      <c r="BW101" s="17">
        <v>0</v>
      </c>
      <c r="BX101" s="17">
        <v>0</v>
      </c>
      <c r="BY101" s="17">
        <v>0</v>
      </c>
      <c r="BZ101" s="17">
        <v>0</v>
      </c>
      <c r="CA101" s="17">
        <v>0</v>
      </c>
      <c r="CB101" s="17">
        <v>0</v>
      </c>
      <c r="CC101" s="17">
        <v>0</v>
      </c>
      <c r="CD101" s="17">
        <v>0</v>
      </c>
      <c r="CE101" s="17">
        <v>0</v>
      </c>
      <c r="CF101" s="17">
        <v>0</v>
      </c>
      <c r="CG101" s="17">
        <v>0</v>
      </c>
      <c r="CH101" s="17">
        <v>0</v>
      </c>
      <c r="CI101" s="17">
        <v>0</v>
      </c>
      <c r="CJ101" s="17">
        <v>0</v>
      </c>
      <c r="CK101" s="18">
        <v>0</v>
      </c>
    </row>
    <row r="102" spans="1:89">
      <c r="A102" s="5" t="s">
        <v>7</v>
      </c>
      <c r="B102" s="44" t="s">
        <v>84</v>
      </c>
      <c r="C102" s="6" t="s">
        <v>102</v>
      </c>
      <c r="D102" s="5">
        <v>87</v>
      </c>
      <c r="E102" s="31">
        <v>0.19306265130861072</v>
      </c>
      <c r="F102" s="38">
        <f t="shared" si="6"/>
        <v>6459.3976962916086</v>
      </c>
      <c r="J102" s="44">
        <v>87</v>
      </c>
      <c r="K102" s="73">
        <v>0.49072900000000003</v>
      </c>
      <c r="L102" s="17">
        <f t="shared" si="4"/>
        <v>0.24081495144100001</v>
      </c>
      <c r="M102" s="52">
        <f t="shared" si="7"/>
        <v>0</v>
      </c>
      <c r="N102" s="18">
        <f t="shared" si="5"/>
        <v>0</v>
      </c>
      <c r="R102" s="60">
        <v>0</v>
      </c>
      <c r="S102" s="16">
        <v>19</v>
      </c>
      <c r="T102" s="17">
        <v>20</v>
      </c>
      <c r="U102" s="18">
        <v>0.1111111111111111</v>
      </c>
      <c r="W102" s="16">
        <v>0</v>
      </c>
      <c r="X102" s="17">
        <v>0</v>
      </c>
      <c r="Y102" s="17">
        <v>0</v>
      </c>
      <c r="Z102" s="17">
        <v>0</v>
      </c>
      <c r="AA102" s="17">
        <v>0</v>
      </c>
      <c r="AB102" s="17">
        <v>0</v>
      </c>
      <c r="AC102" s="17">
        <v>0</v>
      </c>
      <c r="AD102" s="17">
        <v>0</v>
      </c>
      <c r="AE102" s="17">
        <v>0</v>
      </c>
      <c r="AF102" s="17">
        <v>1</v>
      </c>
      <c r="AG102" s="18">
        <v>0</v>
      </c>
      <c r="AI102" s="16">
        <v>0</v>
      </c>
      <c r="AJ102" s="17">
        <v>0</v>
      </c>
      <c r="AK102" s="17">
        <v>0</v>
      </c>
      <c r="AL102" s="17">
        <v>0</v>
      </c>
      <c r="AM102" s="17">
        <v>0</v>
      </c>
      <c r="AN102" s="17">
        <v>0</v>
      </c>
      <c r="AO102" s="17">
        <v>0</v>
      </c>
      <c r="AP102" s="17">
        <v>0</v>
      </c>
      <c r="AQ102" s="17">
        <v>0</v>
      </c>
      <c r="AR102" s="17">
        <v>1</v>
      </c>
      <c r="AS102" s="17">
        <v>0</v>
      </c>
      <c r="AT102" s="17">
        <v>0</v>
      </c>
      <c r="AU102" s="17">
        <v>0</v>
      </c>
      <c r="AV102" s="17">
        <v>0</v>
      </c>
      <c r="AW102" s="17">
        <v>0</v>
      </c>
      <c r="AX102" s="17">
        <v>0</v>
      </c>
      <c r="AY102" s="17">
        <v>0</v>
      </c>
      <c r="AZ102" s="17">
        <v>0</v>
      </c>
      <c r="BA102" s="17">
        <v>0</v>
      </c>
      <c r="BB102" s="17">
        <v>0</v>
      </c>
      <c r="BC102" s="17">
        <v>0.49072900000000003</v>
      </c>
      <c r="BD102" s="17">
        <v>0</v>
      </c>
      <c r="BE102" s="17">
        <v>0</v>
      </c>
      <c r="BF102" s="17">
        <v>0</v>
      </c>
      <c r="BG102" s="17">
        <v>0</v>
      </c>
      <c r="BH102" s="17">
        <v>0</v>
      </c>
      <c r="BI102" s="17">
        <v>0</v>
      </c>
      <c r="BJ102" s="17">
        <v>0</v>
      </c>
      <c r="BK102" s="17">
        <v>0</v>
      </c>
      <c r="BL102" s="17">
        <v>0</v>
      </c>
      <c r="BM102" s="17">
        <v>0</v>
      </c>
      <c r="BN102" s="17">
        <v>0.24081495144100001</v>
      </c>
      <c r="BO102" s="17">
        <v>0</v>
      </c>
      <c r="BP102" s="17">
        <v>0</v>
      </c>
      <c r="BQ102" s="17">
        <v>0</v>
      </c>
      <c r="BR102" s="17">
        <v>0</v>
      </c>
      <c r="BS102" s="17">
        <v>0</v>
      </c>
      <c r="BT102" s="17">
        <v>0</v>
      </c>
      <c r="BU102" s="17">
        <v>0</v>
      </c>
      <c r="BV102" s="17">
        <v>0</v>
      </c>
      <c r="BW102" s="17">
        <v>0</v>
      </c>
      <c r="BX102" s="17">
        <v>0</v>
      </c>
      <c r="BY102" s="17">
        <v>0</v>
      </c>
      <c r="BZ102" s="17">
        <v>0</v>
      </c>
      <c r="CA102" s="17">
        <v>0</v>
      </c>
      <c r="CB102" s="17">
        <v>0</v>
      </c>
      <c r="CC102" s="17">
        <v>0</v>
      </c>
      <c r="CD102" s="17">
        <v>0</v>
      </c>
      <c r="CE102" s="17">
        <v>0</v>
      </c>
      <c r="CF102" s="17">
        <v>0</v>
      </c>
      <c r="CG102" s="17">
        <v>0</v>
      </c>
      <c r="CH102" s="17">
        <v>0</v>
      </c>
      <c r="CI102" s="17">
        <v>0</v>
      </c>
      <c r="CJ102" s="17">
        <v>0</v>
      </c>
      <c r="CK102" s="18">
        <v>0</v>
      </c>
    </row>
    <row r="103" spans="1:89">
      <c r="A103" s="5" t="s">
        <v>7</v>
      </c>
      <c r="B103" s="44" t="s">
        <v>84</v>
      </c>
      <c r="C103" s="6" t="s">
        <v>103</v>
      </c>
      <c r="D103" s="5">
        <v>88</v>
      </c>
      <c r="E103" s="31">
        <v>0.20734222408307265</v>
      </c>
      <c r="F103" s="38">
        <f t="shared" si="6"/>
        <v>8601.3336124608977</v>
      </c>
      <c r="J103" s="44">
        <v>88</v>
      </c>
      <c r="K103" s="73">
        <v>3.7365300000000001</v>
      </c>
      <c r="L103" s="17">
        <f t="shared" si="4"/>
        <v>13.961656440900001</v>
      </c>
      <c r="M103" s="52">
        <f t="shared" si="7"/>
        <v>0</v>
      </c>
      <c r="N103" s="18">
        <f t="shared" si="5"/>
        <v>0</v>
      </c>
      <c r="R103" s="60">
        <v>0</v>
      </c>
      <c r="S103" s="16">
        <v>19</v>
      </c>
      <c r="T103" s="17">
        <v>21</v>
      </c>
      <c r="U103" s="18">
        <v>0.1111111111111111</v>
      </c>
      <c r="W103" s="16">
        <v>0</v>
      </c>
      <c r="X103" s="17">
        <v>0</v>
      </c>
      <c r="Y103" s="17">
        <v>0</v>
      </c>
      <c r="Z103" s="17">
        <v>0</v>
      </c>
      <c r="AA103" s="17">
        <v>0</v>
      </c>
      <c r="AB103" s="17">
        <v>0</v>
      </c>
      <c r="AC103" s="17">
        <v>0</v>
      </c>
      <c r="AD103" s="17">
        <v>0</v>
      </c>
      <c r="AE103" s="17">
        <v>0</v>
      </c>
      <c r="AF103" s="17">
        <v>1</v>
      </c>
      <c r="AG103" s="18">
        <v>0</v>
      </c>
      <c r="AI103" s="16">
        <v>0</v>
      </c>
      <c r="AJ103" s="17">
        <v>0</v>
      </c>
      <c r="AK103" s="17">
        <v>0</v>
      </c>
      <c r="AL103" s="17">
        <v>0</v>
      </c>
      <c r="AM103" s="17">
        <v>0</v>
      </c>
      <c r="AN103" s="17">
        <v>0</v>
      </c>
      <c r="AO103" s="17">
        <v>0</v>
      </c>
      <c r="AP103" s="17">
        <v>0</v>
      </c>
      <c r="AQ103" s="17">
        <v>0</v>
      </c>
      <c r="AR103" s="17">
        <v>1</v>
      </c>
      <c r="AS103" s="17">
        <v>0</v>
      </c>
      <c r="AT103" s="17">
        <v>0</v>
      </c>
      <c r="AU103" s="17">
        <v>0</v>
      </c>
      <c r="AV103" s="17">
        <v>0</v>
      </c>
      <c r="AW103" s="17">
        <v>0</v>
      </c>
      <c r="AX103" s="17">
        <v>0</v>
      </c>
      <c r="AY103" s="17">
        <v>0</v>
      </c>
      <c r="AZ103" s="17">
        <v>0</v>
      </c>
      <c r="BA103" s="17">
        <v>0</v>
      </c>
      <c r="BB103" s="17">
        <v>0</v>
      </c>
      <c r="BC103" s="17">
        <v>3.7365300000000001</v>
      </c>
      <c r="BD103" s="17">
        <v>0</v>
      </c>
      <c r="BE103" s="17">
        <v>0</v>
      </c>
      <c r="BF103" s="17">
        <v>0</v>
      </c>
      <c r="BG103" s="17">
        <v>0</v>
      </c>
      <c r="BH103" s="17">
        <v>0</v>
      </c>
      <c r="BI103" s="17">
        <v>0</v>
      </c>
      <c r="BJ103" s="17">
        <v>0</v>
      </c>
      <c r="BK103" s="17">
        <v>0</v>
      </c>
      <c r="BL103" s="17">
        <v>0</v>
      </c>
      <c r="BM103" s="17">
        <v>0</v>
      </c>
      <c r="BN103" s="17">
        <v>13.961656440900001</v>
      </c>
      <c r="BO103" s="17">
        <v>0</v>
      </c>
      <c r="BP103" s="17">
        <v>0</v>
      </c>
      <c r="BQ103" s="17">
        <v>0</v>
      </c>
      <c r="BR103" s="17">
        <v>0</v>
      </c>
      <c r="BS103" s="17">
        <v>0</v>
      </c>
      <c r="BT103" s="17">
        <v>0</v>
      </c>
      <c r="BU103" s="17">
        <v>0</v>
      </c>
      <c r="BV103" s="17">
        <v>0</v>
      </c>
      <c r="BW103" s="17">
        <v>0</v>
      </c>
      <c r="BX103" s="17">
        <v>0</v>
      </c>
      <c r="BY103" s="17">
        <v>0</v>
      </c>
      <c r="BZ103" s="17">
        <v>0</v>
      </c>
      <c r="CA103" s="17">
        <v>0</v>
      </c>
      <c r="CB103" s="17">
        <v>0</v>
      </c>
      <c r="CC103" s="17">
        <v>0</v>
      </c>
      <c r="CD103" s="17">
        <v>0</v>
      </c>
      <c r="CE103" s="17">
        <v>0</v>
      </c>
      <c r="CF103" s="17">
        <v>0</v>
      </c>
      <c r="CG103" s="17">
        <v>0</v>
      </c>
      <c r="CH103" s="17">
        <v>0</v>
      </c>
      <c r="CI103" s="17">
        <v>0</v>
      </c>
      <c r="CJ103" s="17">
        <v>0</v>
      </c>
      <c r="CK103" s="18">
        <v>0</v>
      </c>
    </row>
    <row r="104" spans="1:89">
      <c r="A104" s="5" t="s">
        <v>7</v>
      </c>
      <c r="B104" s="44" t="s">
        <v>84</v>
      </c>
      <c r="C104" s="6" t="s">
        <v>104</v>
      </c>
      <c r="D104" s="5">
        <v>89</v>
      </c>
      <c r="E104" s="31">
        <v>0.18079307007321918</v>
      </c>
      <c r="F104" s="38">
        <f t="shared" si="6"/>
        <v>4618.9605109828781</v>
      </c>
      <c r="J104" s="44">
        <v>89</v>
      </c>
      <c r="K104" s="73">
        <v>-2.2940100000000001</v>
      </c>
      <c r="L104" s="17">
        <f t="shared" si="4"/>
        <v>5.2624818801000002</v>
      </c>
      <c r="M104" s="52">
        <f t="shared" si="7"/>
        <v>0</v>
      </c>
      <c r="N104" s="18">
        <f t="shared" si="5"/>
        <v>0</v>
      </c>
      <c r="R104" s="60">
        <v>0</v>
      </c>
      <c r="S104" s="16">
        <v>19</v>
      </c>
      <c r="T104" s="17">
        <v>23</v>
      </c>
      <c r="U104" s="18">
        <v>0.1111111111111111</v>
      </c>
      <c r="W104" s="16">
        <v>0</v>
      </c>
      <c r="X104" s="17">
        <v>0</v>
      </c>
      <c r="Y104" s="17">
        <v>0</v>
      </c>
      <c r="Z104" s="17">
        <v>0</v>
      </c>
      <c r="AA104" s="17">
        <v>0</v>
      </c>
      <c r="AB104" s="17">
        <v>0</v>
      </c>
      <c r="AC104" s="17">
        <v>0</v>
      </c>
      <c r="AD104" s="17">
        <v>0</v>
      </c>
      <c r="AE104" s="17">
        <v>0</v>
      </c>
      <c r="AF104" s="17">
        <v>1</v>
      </c>
      <c r="AG104" s="18">
        <v>0</v>
      </c>
      <c r="AI104" s="16">
        <v>0</v>
      </c>
      <c r="AJ104" s="17">
        <v>0</v>
      </c>
      <c r="AK104" s="17">
        <v>0</v>
      </c>
      <c r="AL104" s="17">
        <v>0</v>
      </c>
      <c r="AM104" s="17">
        <v>0</v>
      </c>
      <c r="AN104" s="17">
        <v>0</v>
      </c>
      <c r="AO104" s="17">
        <v>0</v>
      </c>
      <c r="AP104" s="17">
        <v>0</v>
      </c>
      <c r="AQ104" s="17">
        <v>0</v>
      </c>
      <c r="AR104" s="17">
        <v>1</v>
      </c>
      <c r="AS104" s="17">
        <v>0</v>
      </c>
      <c r="AT104" s="17">
        <v>0</v>
      </c>
      <c r="AU104" s="17">
        <v>0</v>
      </c>
      <c r="AV104" s="17">
        <v>0</v>
      </c>
      <c r="AW104" s="17">
        <v>0</v>
      </c>
      <c r="AX104" s="17">
        <v>0</v>
      </c>
      <c r="AY104" s="17">
        <v>0</v>
      </c>
      <c r="AZ104" s="17">
        <v>0</v>
      </c>
      <c r="BA104" s="17">
        <v>0</v>
      </c>
      <c r="BB104" s="17">
        <v>0</v>
      </c>
      <c r="BC104" s="17">
        <v>-2.2940100000000001</v>
      </c>
      <c r="BD104" s="17">
        <v>0</v>
      </c>
      <c r="BE104" s="17">
        <v>0</v>
      </c>
      <c r="BF104" s="17">
        <v>0</v>
      </c>
      <c r="BG104" s="17">
        <v>0</v>
      </c>
      <c r="BH104" s="17">
        <v>0</v>
      </c>
      <c r="BI104" s="17">
        <v>0</v>
      </c>
      <c r="BJ104" s="17">
        <v>0</v>
      </c>
      <c r="BK104" s="17">
        <v>0</v>
      </c>
      <c r="BL104" s="17">
        <v>0</v>
      </c>
      <c r="BM104" s="17">
        <v>0</v>
      </c>
      <c r="BN104" s="17">
        <v>5.2624818801000002</v>
      </c>
      <c r="BO104" s="17">
        <v>0</v>
      </c>
      <c r="BP104" s="17">
        <v>0</v>
      </c>
      <c r="BQ104" s="17">
        <v>0</v>
      </c>
      <c r="BR104" s="17">
        <v>0</v>
      </c>
      <c r="BS104" s="17">
        <v>0</v>
      </c>
      <c r="BT104" s="17">
        <v>0</v>
      </c>
      <c r="BU104" s="17">
        <v>0</v>
      </c>
      <c r="BV104" s="17">
        <v>0</v>
      </c>
      <c r="BW104" s="17">
        <v>0</v>
      </c>
      <c r="BX104" s="17">
        <v>0</v>
      </c>
      <c r="BY104" s="17">
        <v>0</v>
      </c>
      <c r="BZ104" s="17">
        <v>0</v>
      </c>
      <c r="CA104" s="17">
        <v>0</v>
      </c>
      <c r="CB104" s="17">
        <v>0</v>
      </c>
      <c r="CC104" s="17">
        <v>0</v>
      </c>
      <c r="CD104" s="17">
        <v>0</v>
      </c>
      <c r="CE104" s="17">
        <v>0</v>
      </c>
      <c r="CF104" s="17">
        <v>0</v>
      </c>
      <c r="CG104" s="17">
        <v>0</v>
      </c>
      <c r="CH104" s="17">
        <v>0</v>
      </c>
      <c r="CI104" s="17">
        <v>0</v>
      </c>
      <c r="CJ104" s="17">
        <v>0</v>
      </c>
      <c r="CK104" s="18">
        <v>0</v>
      </c>
    </row>
    <row r="105" spans="1:89">
      <c r="A105" s="5" t="s">
        <v>7</v>
      </c>
      <c r="B105" s="44" t="s">
        <v>84</v>
      </c>
      <c r="C105" s="6" t="s">
        <v>105</v>
      </c>
      <c r="D105" s="5">
        <v>90</v>
      </c>
      <c r="E105" s="31">
        <v>0.18394519557233871</v>
      </c>
      <c r="F105" s="38">
        <f t="shared" si="6"/>
        <v>5091.779335850807</v>
      </c>
      <c r="J105" s="44">
        <v>90</v>
      </c>
      <c r="K105" s="73">
        <v>-1.78908</v>
      </c>
      <c r="L105" s="17">
        <f t="shared" si="4"/>
        <v>3.2008072464000001</v>
      </c>
      <c r="M105" s="52">
        <f t="shared" si="7"/>
        <v>0</v>
      </c>
      <c r="N105" s="18">
        <f t="shared" si="5"/>
        <v>0</v>
      </c>
      <c r="R105" s="60">
        <v>0</v>
      </c>
      <c r="S105" s="16">
        <v>19</v>
      </c>
      <c r="T105" s="17">
        <v>33</v>
      </c>
      <c r="U105" s="18">
        <v>0.1111111111111111</v>
      </c>
      <c r="W105" s="16">
        <v>0</v>
      </c>
      <c r="X105" s="17">
        <v>0</v>
      </c>
      <c r="Y105" s="17">
        <v>0</v>
      </c>
      <c r="Z105" s="17">
        <v>0</v>
      </c>
      <c r="AA105" s="17">
        <v>0</v>
      </c>
      <c r="AB105" s="17">
        <v>0</v>
      </c>
      <c r="AC105" s="17">
        <v>0</v>
      </c>
      <c r="AD105" s="17">
        <v>0</v>
      </c>
      <c r="AE105" s="17">
        <v>0</v>
      </c>
      <c r="AF105" s="17">
        <v>1</v>
      </c>
      <c r="AG105" s="18">
        <v>0</v>
      </c>
      <c r="AI105" s="16">
        <v>0</v>
      </c>
      <c r="AJ105" s="17">
        <v>0</v>
      </c>
      <c r="AK105" s="17">
        <v>0</v>
      </c>
      <c r="AL105" s="17">
        <v>0</v>
      </c>
      <c r="AM105" s="17">
        <v>0</v>
      </c>
      <c r="AN105" s="17">
        <v>0</v>
      </c>
      <c r="AO105" s="17">
        <v>0</v>
      </c>
      <c r="AP105" s="17">
        <v>0</v>
      </c>
      <c r="AQ105" s="17">
        <v>0</v>
      </c>
      <c r="AR105" s="17">
        <v>1</v>
      </c>
      <c r="AS105" s="17">
        <v>0</v>
      </c>
      <c r="AT105" s="17">
        <v>0</v>
      </c>
      <c r="AU105" s="17">
        <v>0</v>
      </c>
      <c r="AV105" s="17">
        <v>0</v>
      </c>
      <c r="AW105" s="17">
        <v>0</v>
      </c>
      <c r="AX105" s="17">
        <v>0</v>
      </c>
      <c r="AY105" s="17">
        <v>0</v>
      </c>
      <c r="AZ105" s="17">
        <v>0</v>
      </c>
      <c r="BA105" s="17">
        <v>0</v>
      </c>
      <c r="BB105" s="17">
        <v>0</v>
      </c>
      <c r="BC105" s="17">
        <v>-1.78908</v>
      </c>
      <c r="BD105" s="17">
        <v>0</v>
      </c>
      <c r="BE105" s="17">
        <v>0</v>
      </c>
      <c r="BF105" s="17">
        <v>0</v>
      </c>
      <c r="BG105" s="17">
        <v>0</v>
      </c>
      <c r="BH105" s="17">
        <v>0</v>
      </c>
      <c r="BI105" s="17">
        <v>0</v>
      </c>
      <c r="BJ105" s="17">
        <v>0</v>
      </c>
      <c r="BK105" s="17">
        <v>0</v>
      </c>
      <c r="BL105" s="17">
        <v>0</v>
      </c>
      <c r="BM105" s="17">
        <v>0</v>
      </c>
      <c r="BN105" s="17">
        <v>3.2008072464000001</v>
      </c>
      <c r="BO105" s="17">
        <v>0</v>
      </c>
      <c r="BP105" s="17">
        <v>0</v>
      </c>
      <c r="BQ105" s="17">
        <v>0</v>
      </c>
      <c r="BR105" s="17">
        <v>0</v>
      </c>
      <c r="BS105" s="17">
        <v>0</v>
      </c>
      <c r="BT105" s="17">
        <v>0</v>
      </c>
      <c r="BU105" s="17">
        <v>0</v>
      </c>
      <c r="BV105" s="17">
        <v>0</v>
      </c>
      <c r="BW105" s="17">
        <v>0</v>
      </c>
      <c r="BX105" s="17">
        <v>0</v>
      </c>
      <c r="BY105" s="17">
        <v>0</v>
      </c>
      <c r="BZ105" s="17">
        <v>0</v>
      </c>
      <c r="CA105" s="17">
        <v>0</v>
      </c>
      <c r="CB105" s="17">
        <v>0</v>
      </c>
      <c r="CC105" s="17">
        <v>0</v>
      </c>
      <c r="CD105" s="17">
        <v>0</v>
      </c>
      <c r="CE105" s="17">
        <v>0</v>
      </c>
      <c r="CF105" s="17">
        <v>0</v>
      </c>
      <c r="CG105" s="17">
        <v>0</v>
      </c>
      <c r="CH105" s="17">
        <v>0</v>
      </c>
      <c r="CI105" s="17">
        <v>0</v>
      </c>
      <c r="CJ105" s="17">
        <v>0</v>
      </c>
      <c r="CK105" s="18">
        <v>0</v>
      </c>
    </row>
    <row r="106" spans="1:89">
      <c r="A106" s="5" t="s">
        <v>7</v>
      </c>
      <c r="B106" s="44" t="s">
        <v>84</v>
      </c>
      <c r="C106" s="6" t="s">
        <v>107</v>
      </c>
      <c r="D106" s="5">
        <v>91</v>
      </c>
      <c r="E106" s="31">
        <v>0.18466381530268836</v>
      </c>
      <c r="F106" s="38">
        <f t="shared" si="6"/>
        <v>5199.5722954032544</v>
      </c>
      <c r="J106" s="44">
        <v>91</v>
      </c>
      <c r="K106" s="73">
        <v>-1.3793500000000001</v>
      </c>
      <c r="L106" s="17">
        <f t="shared" si="4"/>
        <v>1.9026064225000001</v>
      </c>
      <c r="M106" s="52">
        <f t="shared" si="7"/>
        <v>0</v>
      </c>
      <c r="N106" s="18">
        <f t="shared" si="5"/>
        <v>0</v>
      </c>
      <c r="R106" s="60">
        <v>0</v>
      </c>
      <c r="S106" s="16">
        <v>19</v>
      </c>
      <c r="T106" s="17">
        <v>34</v>
      </c>
      <c r="U106" s="18">
        <v>0.1111111111111111</v>
      </c>
      <c r="W106" s="16">
        <v>0</v>
      </c>
      <c r="X106" s="17">
        <v>0</v>
      </c>
      <c r="Y106" s="17">
        <v>0</v>
      </c>
      <c r="Z106" s="17">
        <v>0</v>
      </c>
      <c r="AA106" s="17">
        <v>0</v>
      </c>
      <c r="AB106" s="17">
        <v>0</v>
      </c>
      <c r="AC106" s="17">
        <v>0</v>
      </c>
      <c r="AD106" s="17">
        <v>0</v>
      </c>
      <c r="AE106" s="17">
        <v>0</v>
      </c>
      <c r="AF106" s="17">
        <v>1</v>
      </c>
      <c r="AG106" s="18">
        <v>0</v>
      </c>
      <c r="AI106" s="16">
        <v>0</v>
      </c>
      <c r="AJ106" s="17">
        <v>0</v>
      </c>
      <c r="AK106" s="17">
        <v>0</v>
      </c>
      <c r="AL106" s="17">
        <v>0</v>
      </c>
      <c r="AM106" s="17">
        <v>0</v>
      </c>
      <c r="AN106" s="17">
        <v>0</v>
      </c>
      <c r="AO106" s="17">
        <v>0</v>
      </c>
      <c r="AP106" s="17">
        <v>0</v>
      </c>
      <c r="AQ106" s="17">
        <v>0</v>
      </c>
      <c r="AR106" s="17">
        <v>1</v>
      </c>
      <c r="AS106" s="17">
        <v>0</v>
      </c>
      <c r="AT106" s="17">
        <v>0</v>
      </c>
      <c r="AU106" s="17">
        <v>0</v>
      </c>
      <c r="AV106" s="17">
        <v>0</v>
      </c>
      <c r="AW106" s="17">
        <v>0</v>
      </c>
      <c r="AX106" s="17">
        <v>0</v>
      </c>
      <c r="AY106" s="17">
        <v>0</v>
      </c>
      <c r="AZ106" s="17">
        <v>0</v>
      </c>
      <c r="BA106" s="17">
        <v>0</v>
      </c>
      <c r="BB106" s="17">
        <v>0</v>
      </c>
      <c r="BC106" s="17">
        <v>-1.3793500000000001</v>
      </c>
      <c r="BD106" s="17">
        <v>0</v>
      </c>
      <c r="BE106" s="17">
        <v>0</v>
      </c>
      <c r="BF106" s="17">
        <v>0</v>
      </c>
      <c r="BG106" s="17">
        <v>0</v>
      </c>
      <c r="BH106" s="17">
        <v>0</v>
      </c>
      <c r="BI106" s="17">
        <v>0</v>
      </c>
      <c r="BJ106" s="17">
        <v>0</v>
      </c>
      <c r="BK106" s="17">
        <v>0</v>
      </c>
      <c r="BL106" s="17">
        <v>0</v>
      </c>
      <c r="BM106" s="17">
        <v>0</v>
      </c>
      <c r="BN106" s="17">
        <v>1.9026064225000001</v>
      </c>
      <c r="BO106" s="17">
        <v>0</v>
      </c>
      <c r="BP106" s="17">
        <v>0</v>
      </c>
      <c r="BQ106" s="17">
        <v>0</v>
      </c>
      <c r="BR106" s="17">
        <v>0</v>
      </c>
      <c r="BS106" s="17">
        <v>0</v>
      </c>
      <c r="BT106" s="17">
        <v>0</v>
      </c>
      <c r="BU106" s="17">
        <v>0</v>
      </c>
      <c r="BV106" s="17">
        <v>0</v>
      </c>
      <c r="BW106" s="17">
        <v>0</v>
      </c>
      <c r="BX106" s="17">
        <v>0</v>
      </c>
      <c r="BY106" s="17">
        <v>0</v>
      </c>
      <c r="BZ106" s="17">
        <v>0</v>
      </c>
      <c r="CA106" s="17">
        <v>0</v>
      </c>
      <c r="CB106" s="17">
        <v>0</v>
      </c>
      <c r="CC106" s="17">
        <v>0</v>
      </c>
      <c r="CD106" s="17">
        <v>0</v>
      </c>
      <c r="CE106" s="17">
        <v>0</v>
      </c>
      <c r="CF106" s="17">
        <v>0</v>
      </c>
      <c r="CG106" s="17">
        <v>0</v>
      </c>
      <c r="CH106" s="17">
        <v>0</v>
      </c>
      <c r="CI106" s="17">
        <v>0</v>
      </c>
      <c r="CJ106" s="17">
        <v>0</v>
      </c>
      <c r="CK106" s="18">
        <v>0</v>
      </c>
    </row>
    <row r="107" spans="1:89">
      <c r="A107" s="5" t="s">
        <v>7</v>
      </c>
      <c r="B107" s="44" t="s">
        <v>84</v>
      </c>
      <c r="C107" s="6" t="s">
        <v>108</v>
      </c>
      <c r="D107" s="5">
        <v>92</v>
      </c>
      <c r="E107" s="31">
        <v>0.1885236634556999</v>
      </c>
      <c r="F107" s="38">
        <f t="shared" si="6"/>
        <v>5778.5495183549856</v>
      </c>
      <c r="J107" s="44">
        <v>92</v>
      </c>
      <c r="K107" s="73">
        <v>-0.65790599999999999</v>
      </c>
      <c r="L107" s="17">
        <f t="shared" si="4"/>
        <v>0.432840304836</v>
      </c>
      <c r="M107" s="52">
        <f t="shared" si="7"/>
        <v>0</v>
      </c>
      <c r="N107" s="18">
        <f t="shared" si="5"/>
        <v>0</v>
      </c>
      <c r="R107" s="60">
        <v>0</v>
      </c>
      <c r="S107" s="16">
        <v>19</v>
      </c>
      <c r="T107" s="17">
        <v>104</v>
      </c>
      <c r="U107" s="18">
        <v>0.1111111111111111</v>
      </c>
      <c r="W107" s="16">
        <v>0</v>
      </c>
      <c r="X107" s="17">
        <v>0</v>
      </c>
      <c r="Y107" s="17">
        <v>0</v>
      </c>
      <c r="Z107" s="17">
        <v>0</v>
      </c>
      <c r="AA107" s="17">
        <v>0</v>
      </c>
      <c r="AB107" s="17">
        <v>0</v>
      </c>
      <c r="AC107" s="17">
        <v>0</v>
      </c>
      <c r="AD107" s="17">
        <v>0</v>
      </c>
      <c r="AE107" s="17">
        <v>0</v>
      </c>
      <c r="AF107" s="17">
        <v>1</v>
      </c>
      <c r="AG107" s="18">
        <v>0</v>
      </c>
      <c r="AI107" s="16">
        <v>0</v>
      </c>
      <c r="AJ107" s="17">
        <v>0</v>
      </c>
      <c r="AK107" s="17">
        <v>0</v>
      </c>
      <c r="AL107" s="17">
        <v>0</v>
      </c>
      <c r="AM107" s="17">
        <v>0</v>
      </c>
      <c r="AN107" s="17">
        <v>0</v>
      </c>
      <c r="AO107" s="17">
        <v>0</v>
      </c>
      <c r="AP107" s="17">
        <v>0</v>
      </c>
      <c r="AQ107" s="17">
        <v>0</v>
      </c>
      <c r="AR107" s="17">
        <v>1</v>
      </c>
      <c r="AS107" s="17">
        <v>0</v>
      </c>
      <c r="AT107" s="17">
        <v>0</v>
      </c>
      <c r="AU107" s="17">
        <v>0</v>
      </c>
      <c r="AV107" s="17">
        <v>0</v>
      </c>
      <c r="AW107" s="17">
        <v>0</v>
      </c>
      <c r="AX107" s="17">
        <v>0</v>
      </c>
      <c r="AY107" s="17">
        <v>0</v>
      </c>
      <c r="AZ107" s="17">
        <v>0</v>
      </c>
      <c r="BA107" s="17">
        <v>0</v>
      </c>
      <c r="BB107" s="17">
        <v>0</v>
      </c>
      <c r="BC107" s="17">
        <v>-0.65790599999999999</v>
      </c>
      <c r="BD107" s="17">
        <v>0</v>
      </c>
      <c r="BE107" s="17">
        <v>0</v>
      </c>
      <c r="BF107" s="17">
        <v>0</v>
      </c>
      <c r="BG107" s="17">
        <v>0</v>
      </c>
      <c r="BH107" s="17">
        <v>0</v>
      </c>
      <c r="BI107" s="17">
        <v>0</v>
      </c>
      <c r="BJ107" s="17">
        <v>0</v>
      </c>
      <c r="BK107" s="17">
        <v>0</v>
      </c>
      <c r="BL107" s="17">
        <v>0</v>
      </c>
      <c r="BM107" s="17">
        <v>0</v>
      </c>
      <c r="BN107" s="17">
        <v>0.432840304836</v>
      </c>
      <c r="BO107" s="17">
        <v>0</v>
      </c>
      <c r="BP107" s="17">
        <v>0</v>
      </c>
      <c r="BQ107" s="17">
        <v>0</v>
      </c>
      <c r="BR107" s="17">
        <v>0</v>
      </c>
      <c r="BS107" s="17">
        <v>0</v>
      </c>
      <c r="BT107" s="17">
        <v>0</v>
      </c>
      <c r="BU107" s="17">
        <v>0</v>
      </c>
      <c r="BV107" s="17">
        <v>0</v>
      </c>
      <c r="BW107" s="17">
        <v>0</v>
      </c>
      <c r="BX107" s="17">
        <v>0</v>
      </c>
      <c r="BY107" s="17">
        <v>0</v>
      </c>
      <c r="BZ107" s="17">
        <v>0</v>
      </c>
      <c r="CA107" s="17">
        <v>0</v>
      </c>
      <c r="CB107" s="17">
        <v>0</v>
      </c>
      <c r="CC107" s="17">
        <v>0</v>
      </c>
      <c r="CD107" s="17">
        <v>0</v>
      </c>
      <c r="CE107" s="17">
        <v>0</v>
      </c>
      <c r="CF107" s="17">
        <v>0</v>
      </c>
      <c r="CG107" s="17">
        <v>0</v>
      </c>
      <c r="CH107" s="17">
        <v>0</v>
      </c>
      <c r="CI107" s="17">
        <v>0</v>
      </c>
      <c r="CJ107" s="17">
        <v>0</v>
      </c>
      <c r="CK107" s="18">
        <v>0</v>
      </c>
    </row>
    <row r="108" spans="1:89">
      <c r="A108" s="5" t="s">
        <v>7</v>
      </c>
      <c r="B108" s="44" t="s">
        <v>84</v>
      </c>
      <c r="C108" s="6" t="s">
        <v>109</v>
      </c>
      <c r="D108" s="5">
        <v>93</v>
      </c>
      <c r="E108" s="31">
        <v>0.20807391280854348</v>
      </c>
      <c r="F108" s="38">
        <f t="shared" si="6"/>
        <v>8711.0869212815232</v>
      </c>
      <c r="J108" s="44">
        <v>93</v>
      </c>
      <c r="K108" s="73">
        <v>3.8791600000000002</v>
      </c>
      <c r="L108" s="17">
        <f t="shared" si="4"/>
        <v>15.047882305600002</v>
      </c>
      <c r="M108" s="52">
        <f t="shared" si="7"/>
        <v>0</v>
      </c>
      <c r="N108" s="18">
        <f t="shared" si="5"/>
        <v>0</v>
      </c>
      <c r="R108" s="60">
        <v>0</v>
      </c>
      <c r="S108" s="16">
        <v>19</v>
      </c>
      <c r="T108" s="17">
        <v>107</v>
      </c>
      <c r="U108" s="18">
        <v>0.1111111111111111</v>
      </c>
      <c r="W108" s="16">
        <v>0</v>
      </c>
      <c r="X108" s="17">
        <v>0</v>
      </c>
      <c r="Y108" s="17">
        <v>0</v>
      </c>
      <c r="Z108" s="17">
        <v>0</v>
      </c>
      <c r="AA108" s="17">
        <v>0</v>
      </c>
      <c r="AB108" s="17">
        <v>0</v>
      </c>
      <c r="AC108" s="17">
        <v>0</v>
      </c>
      <c r="AD108" s="17">
        <v>0</v>
      </c>
      <c r="AE108" s="17">
        <v>0</v>
      </c>
      <c r="AF108" s="17">
        <v>1</v>
      </c>
      <c r="AG108" s="18">
        <v>0</v>
      </c>
      <c r="AI108" s="16">
        <v>0</v>
      </c>
      <c r="AJ108" s="17">
        <v>0</v>
      </c>
      <c r="AK108" s="17">
        <v>0</v>
      </c>
      <c r="AL108" s="17">
        <v>0</v>
      </c>
      <c r="AM108" s="17">
        <v>0</v>
      </c>
      <c r="AN108" s="17">
        <v>0</v>
      </c>
      <c r="AO108" s="17">
        <v>0</v>
      </c>
      <c r="AP108" s="17">
        <v>0</v>
      </c>
      <c r="AQ108" s="17">
        <v>0</v>
      </c>
      <c r="AR108" s="17">
        <v>1</v>
      </c>
      <c r="AS108" s="17">
        <v>0</v>
      </c>
      <c r="AT108" s="17">
        <v>0</v>
      </c>
      <c r="AU108" s="17">
        <v>0</v>
      </c>
      <c r="AV108" s="17">
        <v>0</v>
      </c>
      <c r="AW108" s="17">
        <v>0</v>
      </c>
      <c r="AX108" s="17">
        <v>0</v>
      </c>
      <c r="AY108" s="17">
        <v>0</v>
      </c>
      <c r="AZ108" s="17">
        <v>0</v>
      </c>
      <c r="BA108" s="17">
        <v>0</v>
      </c>
      <c r="BB108" s="17">
        <v>0</v>
      </c>
      <c r="BC108" s="17">
        <v>3.8791600000000002</v>
      </c>
      <c r="BD108" s="17">
        <v>0</v>
      </c>
      <c r="BE108" s="17">
        <v>0</v>
      </c>
      <c r="BF108" s="17">
        <v>0</v>
      </c>
      <c r="BG108" s="17">
        <v>0</v>
      </c>
      <c r="BH108" s="17">
        <v>0</v>
      </c>
      <c r="BI108" s="17">
        <v>0</v>
      </c>
      <c r="BJ108" s="17">
        <v>0</v>
      </c>
      <c r="BK108" s="17">
        <v>0</v>
      </c>
      <c r="BL108" s="17">
        <v>0</v>
      </c>
      <c r="BM108" s="17">
        <v>0</v>
      </c>
      <c r="BN108" s="17">
        <v>15.047882305600002</v>
      </c>
      <c r="BO108" s="17">
        <v>0</v>
      </c>
      <c r="BP108" s="17">
        <v>0</v>
      </c>
      <c r="BQ108" s="17">
        <v>0</v>
      </c>
      <c r="BR108" s="17">
        <v>0</v>
      </c>
      <c r="BS108" s="17">
        <v>0</v>
      </c>
      <c r="BT108" s="17">
        <v>0</v>
      </c>
      <c r="BU108" s="17">
        <v>0</v>
      </c>
      <c r="BV108" s="17">
        <v>0</v>
      </c>
      <c r="BW108" s="17">
        <v>0</v>
      </c>
      <c r="BX108" s="17">
        <v>0</v>
      </c>
      <c r="BY108" s="17">
        <v>0</v>
      </c>
      <c r="BZ108" s="17">
        <v>0</v>
      </c>
      <c r="CA108" s="17">
        <v>0</v>
      </c>
      <c r="CB108" s="17">
        <v>0</v>
      </c>
      <c r="CC108" s="17">
        <v>0</v>
      </c>
      <c r="CD108" s="17">
        <v>0</v>
      </c>
      <c r="CE108" s="17">
        <v>0</v>
      </c>
      <c r="CF108" s="17">
        <v>0</v>
      </c>
      <c r="CG108" s="17">
        <v>0</v>
      </c>
      <c r="CH108" s="17">
        <v>0</v>
      </c>
      <c r="CI108" s="17">
        <v>0</v>
      </c>
      <c r="CJ108" s="17">
        <v>0</v>
      </c>
      <c r="CK108" s="18">
        <v>0</v>
      </c>
    </row>
    <row r="109" spans="1:89">
      <c r="A109" s="5" t="s">
        <v>7</v>
      </c>
      <c r="B109" s="44" t="s">
        <v>84</v>
      </c>
      <c r="C109" s="6" t="s">
        <v>110</v>
      </c>
      <c r="D109" s="5">
        <v>94</v>
      </c>
      <c r="E109" s="31">
        <v>0.19132729670008267</v>
      </c>
      <c r="F109" s="38">
        <f t="shared" si="6"/>
        <v>6199.0945050124001</v>
      </c>
      <c r="J109" s="44">
        <v>94</v>
      </c>
      <c r="K109" s="73">
        <v>-0.115129</v>
      </c>
      <c r="L109" s="17">
        <f t="shared" si="4"/>
        <v>1.3254686641E-2</v>
      </c>
      <c r="M109" s="52">
        <f t="shared" si="7"/>
        <v>0</v>
      </c>
      <c r="N109" s="18">
        <f t="shared" si="5"/>
        <v>0</v>
      </c>
      <c r="R109" s="60">
        <v>0</v>
      </c>
      <c r="S109" s="16">
        <v>19</v>
      </c>
      <c r="T109" s="17">
        <v>108</v>
      </c>
      <c r="U109" s="18">
        <v>0.1111111111111111</v>
      </c>
      <c r="W109" s="16">
        <v>0</v>
      </c>
      <c r="X109" s="17">
        <v>0</v>
      </c>
      <c r="Y109" s="17">
        <v>0</v>
      </c>
      <c r="Z109" s="17">
        <v>0</v>
      </c>
      <c r="AA109" s="17">
        <v>0</v>
      </c>
      <c r="AB109" s="17">
        <v>0</v>
      </c>
      <c r="AC109" s="17">
        <v>0</v>
      </c>
      <c r="AD109" s="17">
        <v>0</v>
      </c>
      <c r="AE109" s="17">
        <v>0</v>
      </c>
      <c r="AF109" s="17">
        <v>1</v>
      </c>
      <c r="AG109" s="18">
        <v>0</v>
      </c>
      <c r="AI109" s="16">
        <v>0</v>
      </c>
      <c r="AJ109" s="17">
        <v>0</v>
      </c>
      <c r="AK109" s="17">
        <v>0</v>
      </c>
      <c r="AL109" s="17">
        <v>0</v>
      </c>
      <c r="AM109" s="17">
        <v>0</v>
      </c>
      <c r="AN109" s="17">
        <v>0</v>
      </c>
      <c r="AO109" s="17">
        <v>0</v>
      </c>
      <c r="AP109" s="17">
        <v>0</v>
      </c>
      <c r="AQ109" s="17">
        <v>0</v>
      </c>
      <c r="AR109" s="17">
        <v>1</v>
      </c>
      <c r="AS109" s="17">
        <v>0</v>
      </c>
      <c r="AT109" s="17">
        <v>0</v>
      </c>
      <c r="AU109" s="17">
        <v>0</v>
      </c>
      <c r="AV109" s="17">
        <v>0</v>
      </c>
      <c r="AW109" s="17">
        <v>0</v>
      </c>
      <c r="AX109" s="17">
        <v>0</v>
      </c>
      <c r="AY109" s="17">
        <v>0</v>
      </c>
      <c r="AZ109" s="17">
        <v>0</v>
      </c>
      <c r="BA109" s="17">
        <v>0</v>
      </c>
      <c r="BB109" s="17">
        <v>0</v>
      </c>
      <c r="BC109" s="17">
        <v>-0.115129</v>
      </c>
      <c r="BD109" s="17">
        <v>0</v>
      </c>
      <c r="BE109" s="17">
        <v>0</v>
      </c>
      <c r="BF109" s="17">
        <v>0</v>
      </c>
      <c r="BG109" s="17">
        <v>0</v>
      </c>
      <c r="BH109" s="17">
        <v>0</v>
      </c>
      <c r="BI109" s="17">
        <v>0</v>
      </c>
      <c r="BJ109" s="17">
        <v>0</v>
      </c>
      <c r="BK109" s="17">
        <v>0</v>
      </c>
      <c r="BL109" s="17">
        <v>0</v>
      </c>
      <c r="BM109" s="17">
        <v>0</v>
      </c>
      <c r="BN109" s="17">
        <v>1.3254686641E-2</v>
      </c>
      <c r="BO109" s="17">
        <v>0</v>
      </c>
      <c r="BP109" s="17">
        <v>0</v>
      </c>
      <c r="BQ109" s="17">
        <v>0</v>
      </c>
      <c r="BR109" s="17">
        <v>0</v>
      </c>
      <c r="BS109" s="17">
        <v>0</v>
      </c>
      <c r="BT109" s="17">
        <v>0</v>
      </c>
      <c r="BU109" s="17">
        <v>0</v>
      </c>
      <c r="BV109" s="17">
        <v>0</v>
      </c>
      <c r="BW109" s="17">
        <v>0</v>
      </c>
      <c r="BX109" s="17">
        <v>0</v>
      </c>
      <c r="BY109" s="17">
        <v>0</v>
      </c>
      <c r="BZ109" s="17">
        <v>0</v>
      </c>
      <c r="CA109" s="17">
        <v>0</v>
      </c>
      <c r="CB109" s="17">
        <v>0</v>
      </c>
      <c r="CC109" s="17">
        <v>0</v>
      </c>
      <c r="CD109" s="17">
        <v>0</v>
      </c>
      <c r="CE109" s="17">
        <v>0</v>
      </c>
      <c r="CF109" s="17">
        <v>0</v>
      </c>
      <c r="CG109" s="17">
        <v>0</v>
      </c>
      <c r="CH109" s="17">
        <v>0</v>
      </c>
      <c r="CI109" s="17">
        <v>0</v>
      </c>
      <c r="CJ109" s="17">
        <v>0</v>
      </c>
      <c r="CK109" s="18">
        <v>0</v>
      </c>
    </row>
    <row r="110" spans="1:89">
      <c r="A110" s="5" t="s">
        <v>23</v>
      </c>
      <c r="B110" s="44" t="s">
        <v>111</v>
      </c>
      <c r="C110" s="6" t="s">
        <v>112</v>
      </c>
      <c r="D110" s="5">
        <v>95</v>
      </c>
      <c r="E110" s="31">
        <v>8.1601724687483182E-2</v>
      </c>
      <c r="F110" s="38">
        <f t="shared" si="6"/>
        <v>0</v>
      </c>
      <c r="J110" s="44">
        <v>95</v>
      </c>
      <c r="K110" s="73">
        <v>0.80682299999999996</v>
      </c>
      <c r="L110" s="17">
        <f t="shared" si="4"/>
        <v>0.65096335332899991</v>
      </c>
      <c r="M110" s="52">
        <f t="shared" si="7"/>
        <v>0</v>
      </c>
      <c r="N110" s="18">
        <f t="shared" si="5"/>
        <v>0</v>
      </c>
      <c r="R110" s="60">
        <v>1.8671942365419299E-2</v>
      </c>
      <c r="S110" s="16">
        <v>20</v>
      </c>
      <c r="T110" s="17">
        <v>15</v>
      </c>
      <c r="U110" s="18">
        <v>0.16666666666666666</v>
      </c>
      <c r="W110" s="16">
        <v>0</v>
      </c>
      <c r="X110" s="17">
        <v>0</v>
      </c>
      <c r="Y110" s="17">
        <v>0</v>
      </c>
      <c r="Z110" s="17">
        <v>0</v>
      </c>
      <c r="AA110" s="17">
        <v>0</v>
      </c>
      <c r="AB110" s="17">
        <v>0</v>
      </c>
      <c r="AC110" s="17">
        <v>0</v>
      </c>
      <c r="AD110" s="17">
        <v>0</v>
      </c>
      <c r="AE110" s="17">
        <v>0</v>
      </c>
      <c r="AF110" s="17">
        <v>0</v>
      </c>
      <c r="AG110" s="18">
        <v>1</v>
      </c>
      <c r="AI110" s="16">
        <v>0</v>
      </c>
      <c r="AJ110" s="17">
        <v>0</v>
      </c>
      <c r="AK110" s="17">
        <v>0</v>
      </c>
      <c r="AL110" s="17">
        <v>0</v>
      </c>
      <c r="AM110" s="17">
        <v>0</v>
      </c>
      <c r="AN110" s="17">
        <v>0</v>
      </c>
      <c r="AO110" s="17">
        <v>0</v>
      </c>
      <c r="AP110" s="17">
        <v>0</v>
      </c>
      <c r="AQ110" s="17">
        <v>0</v>
      </c>
      <c r="AR110" s="17">
        <v>0</v>
      </c>
      <c r="AS110" s="17">
        <v>1</v>
      </c>
      <c r="AT110" s="17">
        <v>0</v>
      </c>
      <c r="AU110" s="17">
        <v>0</v>
      </c>
      <c r="AV110" s="17">
        <v>0</v>
      </c>
      <c r="AW110" s="17">
        <v>0</v>
      </c>
      <c r="AX110" s="17">
        <v>0</v>
      </c>
      <c r="AY110" s="17">
        <v>0</v>
      </c>
      <c r="AZ110" s="17">
        <v>0</v>
      </c>
      <c r="BA110" s="17">
        <v>0</v>
      </c>
      <c r="BB110" s="17">
        <v>0</v>
      </c>
      <c r="BC110" s="17">
        <v>0</v>
      </c>
      <c r="BD110" s="17">
        <v>0.80682299999999996</v>
      </c>
      <c r="BE110" s="17">
        <v>0</v>
      </c>
      <c r="BF110" s="17">
        <v>0</v>
      </c>
      <c r="BG110" s="17">
        <v>0</v>
      </c>
      <c r="BH110" s="17">
        <v>0</v>
      </c>
      <c r="BI110" s="17">
        <v>0</v>
      </c>
      <c r="BJ110" s="17">
        <v>0</v>
      </c>
      <c r="BK110" s="17">
        <v>0</v>
      </c>
      <c r="BL110" s="17">
        <v>0</v>
      </c>
      <c r="BM110" s="17">
        <v>0</v>
      </c>
      <c r="BN110" s="17">
        <v>0</v>
      </c>
      <c r="BO110" s="17">
        <v>0.65096335332899991</v>
      </c>
      <c r="BP110" s="17">
        <v>0</v>
      </c>
      <c r="BQ110" s="17">
        <v>0</v>
      </c>
      <c r="BR110" s="17">
        <v>0</v>
      </c>
      <c r="BS110" s="17">
        <v>0</v>
      </c>
      <c r="BT110" s="17">
        <v>0</v>
      </c>
      <c r="BU110" s="17">
        <v>0</v>
      </c>
      <c r="BV110" s="17">
        <v>0</v>
      </c>
      <c r="BW110" s="17">
        <v>0</v>
      </c>
      <c r="BX110" s="17">
        <v>0</v>
      </c>
      <c r="BY110" s="17">
        <v>0</v>
      </c>
      <c r="BZ110" s="17">
        <v>0</v>
      </c>
      <c r="CA110" s="17">
        <v>0</v>
      </c>
      <c r="CB110" s="17">
        <v>0</v>
      </c>
      <c r="CC110" s="17">
        <v>0</v>
      </c>
      <c r="CD110" s="17">
        <v>0</v>
      </c>
      <c r="CE110" s="17">
        <v>0</v>
      </c>
      <c r="CF110" s="17">
        <v>0</v>
      </c>
      <c r="CG110" s="17">
        <v>0</v>
      </c>
      <c r="CH110" s="17">
        <v>0</v>
      </c>
      <c r="CI110" s="17">
        <v>0</v>
      </c>
      <c r="CJ110" s="17">
        <v>0</v>
      </c>
      <c r="CK110" s="18">
        <v>0</v>
      </c>
    </row>
    <row r="111" spans="1:89">
      <c r="A111" s="5" t="s">
        <v>23</v>
      </c>
      <c r="B111" s="44" t="s">
        <v>111</v>
      </c>
      <c r="C111" s="6" t="s">
        <v>113</v>
      </c>
      <c r="D111" s="5">
        <v>96</v>
      </c>
      <c r="E111" s="31">
        <v>9.2953830802899956E-2</v>
      </c>
      <c r="F111" s="38">
        <f t="shared" si="6"/>
        <v>0</v>
      </c>
      <c r="J111" s="44">
        <v>96</v>
      </c>
      <c r="K111" s="73">
        <v>-5.4036</v>
      </c>
      <c r="L111" s="17">
        <f t="shared" si="4"/>
        <v>29.198892959999998</v>
      </c>
      <c r="M111" s="52">
        <f t="shared" si="7"/>
        <v>0</v>
      </c>
      <c r="N111" s="18">
        <f t="shared" si="5"/>
        <v>0</v>
      </c>
      <c r="R111" s="60">
        <v>2.8432903818051199E-2</v>
      </c>
      <c r="S111" s="16">
        <v>20</v>
      </c>
      <c r="T111" s="17">
        <v>18</v>
      </c>
      <c r="U111" s="18">
        <v>0.16666666666666666</v>
      </c>
      <c r="W111" s="16">
        <v>0</v>
      </c>
      <c r="X111" s="17">
        <v>0</v>
      </c>
      <c r="Y111" s="17">
        <v>0</v>
      </c>
      <c r="Z111" s="17">
        <v>0</v>
      </c>
      <c r="AA111" s="17">
        <v>0</v>
      </c>
      <c r="AB111" s="17">
        <v>0</v>
      </c>
      <c r="AC111" s="17">
        <v>0</v>
      </c>
      <c r="AD111" s="17">
        <v>0</v>
      </c>
      <c r="AE111" s="17">
        <v>0</v>
      </c>
      <c r="AF111" s="17">
        <v>0</v>
      </c>
      <c r="AG111" s="18">
        <v>1</v>
      </c>
      <c r="AI111" s="16">
        <v>0</v>
      </c>
      <c r="AJ111" s="17">
        <v>0</v>
      </c>
      <c r="AK111" s="17">
        <v>0</v>
      </c>
      <c r="AL111" s="17">
        <v>0</v>
      </c>
      <c r="AM111" s="17">
        <v>0</v>
      </c>
      <c r="AN111" s="17">
        <v>0</v>
      </c>
      <c r="AO111" s="17">
        <v>0</v>
      </c>
      <c r="AP111" s="17">
        <v>0</v>
      </c>
      <c r="AQ111" s="17">
        <v>0</v>
      </c>
      <c r="AR111" s="17">
        <v>0</v>
      </c>
      <c r="AS111" s="17">
        <v>1</v>
      </c>
      <c r="AT111" s="17">
        <v>0</v>
      </c>
      <c r="AU111" s="17">
        <v>0</v>
      </c>
      <c r="AV111" s="17">
        <v>0</v>
      </c>
      <c r="AW111" s="17">
        <v>0</v>
      </c>
      <c r="AX111" s="17">
        <v>0</v>
      </c>
      <c r="AY111" s="17">
        <v>0</v>
      </c>
      <c r="AZ111" s="17">
        <v>0</v>
      </c>
      <c r="BA111" s="17">
        <v>0</v>
      </c>
      <c r="BB111" s="17">
        <v>0</v>
      </c>
      <c r="BC111" s="17">
        <v>0</v>
      </c>
      <c r="BD111" s="17">
        <v>-5.4036</v>
      </c>
      <c r="BE111" s="17">
        <v>0</v>
      </c>
      <c r="BF111" s="17">
        <v>0</v>
      </c>
      <c r="BG111" s="17">
        <v>0</v>
      </c>
      <c r="BH111" s="17">
        <v>0</v>
      </c>
      <c r="BI111" s="17">
        <v>0</v>
      </c>
      <c r="BJ111" s="17">
        <v>0</v>
      </c>
      <c r="BK111" s="17">
        <v>0</v>
      </c>
      <c r="BL111" s="17">
        <v>0</v>
      </c>
      <c r="BM111" s="17">
        <v>0</v>
      </c>
      <c r="BN111" s="17">
        <v>0</v>
      </c>
      <c r="BO111" s="17">
        <v>29.198892959999998</v>
      </c>
      <c r="BP111" s="17">
        <v>0</v>
      </c>
      <c r="BQ111" s="17">
        <v>0</v>
      </c>
      <c r="BR111" s="17">
        <v>0</v>
      </c>
      <c r="BS111" s="17">
        <v>0</v>
      </c>
      <c r="BT111" s="17">
        <v>0</v>
      </c>
      <c r="BU111" s="17">
        <v>0</v>
      </c>
      <c r="BV111" s="17">
        <v>0</v>
      </c>
      <c r="BW111" s="17">
        <v>0</v>
      </c>
      <c r="BX111" s="17">
        <v>0</v>
      </c>
      <c r="BY111" s="17">
        <v>0</v>
      </c>
      <c r="BZ111" s="17">
        <v>0</v>
      </c>
      <c r="CA111" s="17">
        <v>0</v>
      </c>
      <c r="CB111" s="17">
        <v>0</v>
      </c>
      <c r="CC111" s="17">
        <v>0</v>
      </c>
      <c r="CD111" s="17">
        <v>0</v>
      </c>
      <c r="CE111" s="17">
        <v>0</v>
      </c>
      <c r="CF111" s="17">
        <v>0</v>
      </c>
      <c r="CG111" s="17">
        <v>0</v>
      </c>
      <c r="CH111" s="17">
        <v>0</v>
      </c>
      <c r="CI111" s="17">
        <v>0</v>
      </c>
      <c r="CJ111" s="17">
        <v>0</v>
      </c>
      <c r="CK111" s="18">
        <v>0</v>
      </c>
    </row>
    <row r="112" spans="1:89">
      <c r="A112" s="5" t="s">
        <v>23</v>
      </c>
      <c r="B112" s="44" t="s">
        <v>111</v>
      </c>
      <c r="C112" s="6" t="s">
        <v>114</v>
      </c>
      <c r="D112" s="5">
        <v>97</v>
      </c>
      <c r="E112" s="31">
        <v>8.1953761770448441E-2</v>
      </c>
      <c r="F112" s="38">
        <f t="shared" si="6"/>
        <v>0</v>
      </c>
      <c r="J112" s="44">
        <v>97</v>
      </c>
      <c r="K112" s="73">
        <v>-1.0295000000000001</v>
      </c>
      <c r="L112" s="17">
        <f t="shared" si="4"/>
        <v>1.0598702500000001</v>
      </c>
      <c r="M112" s="52">
        <f t="shared" si="7"/>
        <v>0</v>
      </c>
      <c r="N112" s="18">
        <f t="shared" si="5"/>
        <v>0</v>
      </c>
      <c r="R112" s="60">
        <v>2.01279674952464E-2</v>
      </c>
      <c r="S112" s="16">
        <v>20</v>
      </c>
      <c r="T112" s="17">
        <v>19</v>
      </c>
      <c r="U112" s="18">
        <v>0.16666666666666666</v>
      </c>
      <c r="W112" s="16">
        <v>0</v>
      </c>
      <c r="X112" s="17">
        <v>0</v>
      </c>
      <c r="Y112" s="17">
        <v>0</v>
      </c>
      <c r="Z112" s="17">
        <v>0</v>
      </c>
      <c r="AA112" s="17">
        <v>0</v>
      </c>
      <c r="AB112" s="17">
        <v>0</v>
      </c>
      <c r="AC112" s="17">
        <v>0</v>
      </c>
      <c r="AD112" s="17">
        <v>0</v>
      </c>
      <c r="AE112" s="17">
        <v>0</v>
      </c>
      <c r="AF112" s="17">
        <v>0</v>
      </c>
      <c r="AG112" s="18">
        <v>1</v>
      </c>
      <c r="AI112" s="16">
        <v>0</v>
      </c>
      <c r="AJ112" s="17">
        <v>0</v>
      </c>
      <c r="AK112" s="17">
        <v>0</v>
      </c>
      <c r="AL112" s="17">
        <v>0</v>
      </c>
      <c r="AM112" s="17">
        <v>0</v>
      </c>
      <c r="AN112" s="17">
        <v>0</v>
      </c>
      <c r="AO112" s="17">
        <v>0</v>
      </c>
      <c r="AP112" s="17">
        <v>0</v>
      </c>
      <c r="AQ112" s="17">
        <v>0</v>
      </c>
      <c r="AR112" s="17">
        <v>0</v>
      </c>
      <c r="AS112" s="17">
        <v>1</v>
      </c>
      <c r="AT112" s="17">
        <v>0</v>
      </c>
      <c r="AU112" s="17">
        <v>0</v>
      </c>
      <c r="AV112" s="17">
        <v>0</v>
      </c>
      <c r="AW112" s="17">
        <v>0</v>
      </c>
      <c r="AX112" s="17">
        <v>0</v>
      </c>
      <c r="AY112" s="17">
        <v>0</v>
      </c>
      <c r="AZ112" s="17">
        <v>0</v>
      </c>
      <c r="BA112" s="17">
        <v>0</v>
      </c>
      <c r="BB112" s="17">
        <v>0</v>
      </c>
      <c r="BC112" s="17">
        <v>0</v>
      </c>
      <c r="BD112" s="17">
        <v>-1.0295000000000001</v>
      </c>
      <c r="BE112" s="17">
        <v>0</v>
      </c>
      <c r="BF112" s="17">
        <v>0</v>
      </c>
      <c r="BG112" s="17">
        <v>0</v>
      </c>
      <c r="BH112" s="17">
        <v>0</v>
      </c>
      <c r="BI112" s="17">
        <v>0</v>
      </c>
      <c r="BJ112" s="17">
        <v>0</v>
      </c>
      <c r="BK112" s="17">
        <v>0</v>
      </c>
      <c r="BL112" s="17">
        <v>0</v>
      </c>
      <c r="BM112" s="17">
        <v>0</v>
      </c>
      <c r="BN112" s="17">
        <v>0</v>
      </c>
      <c r="BO112" s="17">
        <v>1.0598702500000001</v>
      </c>
      <c r="BP112" s="17">
        <v>0</v>
      </c>
      <c r="BQ112" s="17">
        <v>0</v>
      </c>
      <c r="BR112" s="17">
        <v>0</v>
      </c>
      <c r="BS112" s="17">
        <v>0</v>
      </c>
      <c r="BT112" s="17">
        <v>0</v>
      </c>
      <c r="BU112" s="17">
        <v>0</v>
      </c>
      <c r="BV112" s="17">
        <v>0</v>
      </c>
      <c r="BW112" s="17">
        <v>0</v>
      </c>
      <c r="BX112" s="17">
        <v>0</v>
      </c>
      <c r="BY112" s="17">
        <v>0</v>
      </c>
      <c r="BZ112" s="17">
        <v>0</v>
      </c>
      <c r="CA112" s="17">
        <v>0</v>
      </c>
      <c r="CB112" s="17">
        <v>0</v>
      </c>
      <c r="CC112" s="17">
        <v>0</v>
      </c>
      <c r="CD112" s="17">
        <v>0</v>
      </c>
      <c r="CE112" s="17">
        <v>0</v>
      </c>
      <c r="CF112" s="17">
        <v>0</v>
      </c>
      <c r="CG112" s="17">
        <v>0</v>
      </c>
      <c r="CH112" s="17">
        <v>0</v>
      </c>
      <c r="CI112" s="17">
        <v>0</v>
      </c>
      <c r="CJ112" s="17">
        <v>0</v>
      </c>
      <c r="CK112" s="18">
        <v>0</v>
      </c>
    </row>
    <row r="113" spans="1:89">
      <c r="A113" s="5" t="s">
        <v>23</v>
      </c>
      <c r="B113" s="44" t="s">
        <v>111</v>
      </c>
      <c r="C113" s="6" t="s">
        <v>115</v>
      </c>
      <c r="D113" s="5">
        <v>98</v>
      </c>
      <c r="E113" s="31">
        <v>0.10015968667069071</v>
      </c>
      <c r="F113" s="38">
        <f t="shared" si="6"/>
        <v>0</v>
      </c>
      <c r="J113" s="44">
        <v>98</v>
      </c>
      <c r="K113" s="73">
        <v>-3.10826</v>
      </c>
      <c r="L113" s="17">
        <f t="shared" si="4"/>
        <v>9.6612802276000007</v>
      </c>
      <c r="M113" s="52">
        <f t="shared" si="7"/>
        <v>0</v>
      </c>
      <c r="N113" s="18">
        <f t="shared" si="5"/>
        <v>0</v>
      </c>
      <c r="R113" s="60">
        <v>3.5908303904057401E-2</v>
      </c>
      <c r="S113" s="16">
        <v>20</v>
      </c>
      <c r="T113" s="17">
        <v>21</v>
      </c>
      <c r="U113" s="18">
        <v>0.16666666666666666</v>
      </c>
      <c r="W113" s="16">
        <v>0</v>
      </c>
      <c r="X113" s="17">
        <v>0</v>
      </c>
      <c r="Y113" s="17">
        <v>0</v>
      </c>
      <c r="Z113" s="17">
        <v>0</v>
      </c>
      <c r="AA113" s="17">
        <v>0</v>
      </c>
      <c r="AB113" s="17">
        <v>0</v>
      </c>
      <c r="AC113" s="17">
        <v>0</v>
      </c>
      <c r="AD113" s="17">
        <v>0</v>
      </c>
      <c r="AE113" s="17">
        <v>0</v>
      </c>
      <c r="AF113" s="17">
        <v>0</v>
      </c>
      <c r="AG113" s="18">
        <v>1</v>
      </c>
      <c r="AI113" s="16">
        <v>0</v>
      </c>
      <c r="AJ113" s="17">
        <v>0</v>
      </c>
      <c r="AK113" s="17">
        <v>0</v>
      </c>
      <c r="AL113" s="17">
        <v>0</v>
      </c>
      <c r="AM113" s="17">
        <v>0</v>
      </c>
      <c r="AN113" s="17">
        <v>0</v>
      </c>
      <c r="AO113" s="17">
        <v>0</v>
      </c>
      <c r="AP113" s="17">
        <v>0</v>
      </c>
      <c r="AQ113" s="17">
        <v>0</v>
      </c>
      <c r="AR113" s="17">
        <v>0</v>
      </c>
      <c r="AS113" s="17">
        <v>1</v>
      </c>
      <c r="AT113" s="17">
        <v>0</v>
      </c>
      <c r="AU113" s="17">
        <v>0</v>
      </c>
      <c r="AV113" s="17">
        <v>0</v>
      </c>
      <c r="AW113" s="17">
        <v>0</v>
      </c>
      <c r="AX113" s="17">
        <v>0</v>
      </c>
      <c r="AY113" s="17">
        <v>0</v>
      </c>
      <c r="AZ113" s="17">
        <v>0</v>
      </c>
      <c r="BA113" s="17">
        <v>0</v>
      </c>
      <c r="BB113" s="17">
        <v>0</v>
      </c>
      <c r="BC113" s="17">
        <v>0</v>
      </c>
      <c r="BD113" s="17">
        <v>-3.10826</v>
      </c>
      <c r="BE113" s="17">
        <v>0</v>
      </c>
      <c r="BF113" s="17">
        <v>0</v>
      </c>
      <c r="BG113" s="17">
        <v>0</v>
      </c>
      <c r="BH113" s="17">
        <v>0</v>
      </c>
      <c r="BI113" s="17">
        <v>0</v>
      </c>
      <c r="BJ113" s="17">
        <v>0</v>
      </c>
      <c r="BK113" s="17">
        <v>0</v>
      </c>
      <c r="BL113" s="17">
        <v>0</v>
      </c>
      <c r="BM113" s="17">
        <v>0</v>
      </c>
      <c r="BN113" s="17">
        <v>0</v>
      </c>
      <c r="BO113" s="17">
        <v>9.6612802276000007</v>
      </c>
      <c r="BP113" s="17">
        <v>0</v>
      </c>
      <c r="BQ113" s="17">
        <v>0</v>
      </c>
      <c r="BR113" s="17">
        <v>0</v>
      </c>
      <c r="BS113" s="17">
        <v>0</v>
      </c>
      <c r="BT113" s="17">
        <v>0</v>
      </c>
      <c r="BU113" s="17">
        <v>0</v>
      </c>
      <c r="BV113" s="17">
        <v>0</v>
      </c>
      <c r="BW113" s="17">
        <v>0</v>
      </c>
      <c r="BX113" s="17">
        <v>0</v>
      </c>
      <c r="BY113" s="17">
        <v>0</v>
      </c>
      <c r="BZ113" s="17">
        <v>0</v>
      </c>
      <c r="CA113" s="17">
        <v>0</v>
      </c>
      <c r="CB113" s="17">
        <v>0</v>
      </c>
      <c r="CC113" s="17">
        <v>0</v>
      </c>
      <c r="CD113" s="17">
        <v>0</v>
      </c>
      <c r="CE113" s="17">
        <v>0</v>
      </c>
      <c r="CF113" s="17">
        <v>0</v>
      </c>
      <c r="CG113" s="17">
        <v>0</v>
      </c>
      <c r="CH113" s="17">
        <v>0</v>
      </c>
      <c r="CI113" s="17">
        <v>0</v>
      </c>
      <c r="CJ113" s="17">
        <v>0</v>
      </c>
      <c r="CK113" s="18">
        <v>0</v>
      </c>
    </row>
    <row r="114" spans="1:89">
      <c r="A114" s="5" t="s">
        <v>23</v>
      </c>
      <c r="B114" s="44" t="s">
        <v>111</v>
      </c>
      <c r="C114" s="6" t="s">
        <v>116</v>
      </c>
      <c r="D114" s="5">
        <v>99</v>
      </c>
      <c r="E114" s="31">
        <v>0.10424563486122868</v>
      </c>
      <c r="F114" s="38">
        <f t="shared" si="6"/>
        <v>0</v>
      </c>
      <c r="J114" s="44">
        <v>99</v>
      </c>
      <c r="K114" s="73">
        <v>-5.0441200000000004</v>
      </c>
      <c r="L114" s="17">
        <f t="shared" si="4"/>
        <v>25.443146574400004</v>
      </c>
      <c r="M114" s="52">
        <f t="shared" si="7"/>
        <v>0</v>
      </c>
      <c r="N114" s="18">
        <f t="shared" si="5"/>
        <v>0</v>
      </c>
      <c r="R114" s="60">
        <v>3.9985023918495698E-2</v>
      </c>
      <c r="S114" s="16">
        <v>20</v>
      </c>
      <c r="T114" s="17">
        <v>71</v>
      </c>
      <c r="U114" s="18">
        <v>0.16666666666666666</v>
      </c>
      <c r="W114" s="16">
        <v>0</v>
      </c>
      <c r="X114" s="17">
        <v>0</v>
      </c>
      <c r="Y114" s="17">
        <v>0</v>
      </c>
      <c r="Z114" s="17">
        <v>0</v>
      </c>
      <c r="AA114" s="17">
        <v>0</v>
      </c>
      <c r="AB114" s="17">
        <v>0</v>
      </c>
      <c r="AC114" s="17">
        <v>0</v>
      </c>
      <c r="AD114" s="17">
        <v>0</v>
      </c>
      <c r="AE114" s="17">
        <v>0</v>
      </c>
      <c r="AF114" s="17">
        <v>0</v>
      </c>
      <c r="AG114" s="18">
        <v>1</v>
      </c>
      <c r="AI114" s="16">
        <v>0</v>
      </c>
      <c r="AJ114" s="17">
        <v>0</v>
      </c>
      <c r="AK114" s="17">
        <v>0</v>
      </c>
      <c r="AL114" s="17">
        <v>0</v>
      </c>
      <c r="AM114" s="17">
        <v>0</v>
      </c>
      <c r="AN114" s="17">
        <v>0</v>
      </c>
      <c r="AO114" s="17">
        <v>0</v>
      </c>
      <c r="AP114" s="17">
        <v>0</v>
      </c>
      <c r="AQ114" s="17">
        <v>0</v>
      </c>
      <c r="AR114" s="17">
        <v>0</v>
      </c>
      <c r="AS114" s="17">
        <v>1</v>
      </c>
      <c r="AT114" s="17">
        <v>0</v>
      </c>
      <c r="AU114" s="17">
        <v>0</v>
      </c>
      <c r="AV114" s="17">
        <v>0</v>
      </c>
      <c r="AW114" s="17">
        <v>0</v>
      </c>
      <c r="AX114" s="17">
        <v>0</v>
      </c>
      <c r="AY114" s="17">
        <v>0</v>
      </c>
      <c r="AZ114" s="17">
        <v>0</v>
      </c>
      <c r="BA114" s="17">
        <v>0</v>
      </c>
      <c r="BB114" s="17">
        <v>0</v>
      </c>
      <c r="BC114" s="17">
        <v>0</v>
      </c>
      <c r="BD114" s="17">
        <v>-5.0441200000000004</v>
      </c>
      <c r="BE114" s="17">
        <v>0</v>
      </c>
      <c r="BF114" s="17">
        <v>0</v>
      </c>
      <c r="BG114" s="17">
        <v>0</v>
      </c>
      <c r="BH114" s="17">
        <v>0</v>
      </c>
      <c r="BI114" s="17">
        <v>0</v>
      </c>
      <c r="BJ114" s="17">
        <v>0</v>
      </c>
      <c r="BK114" s="17">
        <v>0</v>
      </c>
      <c r="BL114" s="17">
        <v>0</v>
      </c>
      <c r="BM114" s="17">
        <v>0</v>
      </c>
      <c r="BN114" s="17">
        <v>0</v>
      </c>
      <c r="BO114" s="17">
        <v>25.443146574400004</v>
      </c>
      <c r="BP114" s="17">
        <v>0</v>
      </c>
      <c r="BQ114" s="17">
        <v>0</v>
      </c>
      <c r="BR114" s="17">
        <v>0</v>
      </c>
      <c r="BS114" s="17">
        <v>0</v>
      </c>
      <c r="BT114" s="17">
        <v>0</v>
      </c>
      <c r="BU114" s="17">
        <v>0</v>
      </c>
      <c r="BV114" s="17">
        <v>0</v>
      </c>
      <c r="BW114" s="17">
        <v>0</v>
      </c>
      <c r="BX114" s="17">
        <v>0</v>
      </c>
      <c r="BY114" s="17">
        <v>0</v>
      </c>
      <c r="BZ114" s="17">
        <v>0</v>
      </c>
      <c r="CA114" s="17">
        <v>0</v>
      </c>
      <c r="CB114" s="17">
        <v>0</v>
      </c>
      <c r="CC114" s="17">
        <v>0</v>
      </c>
      <c r="CD114" s="17">
        <v>0</v>
      </c>
      <c r="CE114" s="17">
        <v>0</v>
      </c>
      <c r="CF114" s="17">
        <v>0</v>
      </c>
      <c r="CG114" s="17">
        <v>0</v>
      </c>
      <c r="CH114" s="17">
        <v>0</v>
      </c>
      <c r="CI114" s="17">
        <v>0</v>
      </c>
      <c r="CJ114" s="17">
        <v>0</v>
      </c>
      <c r="CK114" s="18">
        <v>0</v>
      </c>
    </row>
    <row r="115" spans="1:89">
      <c r="A115" s="5" t="s">
        <v>23</v>
      </c>
      <c r="B115" s="44" t="s">
        <v>111</v>
      </c>
      <c r="C115" s="6" t="s">
        <v>117</v>
      </c>
      <c r="D115" s="5">
        <v>100</v>
      </c>
      <c r="E115" s="31">
        <v>8.1311447765089889E-2</v>
      </c>
      <c r="F115" s="38">
        <f t="shared" si="6"/>
        <v>0</v>
      </c>
      <c r="J115" s="44">
        <v>100</v>
      </c>
      <c r="K115" s="73">
        <v>0.51264200000000004</v>
      </c>
      <c r="L115" s="17">
        <f t="shared" si="4"/>
        <v>0.26280182016400006</v>
      </c>
      <c r="M115" s="52">
        <f t="shared" si="7"/>
        <v>0</v>
      </c>
      <c r="N115" s="18">
        <f t="shared" si="5"/>
        <v>0</v>
      </c>
      <c r="R115" s="60">
        <v>2.0344372306835098E-2</v>
      </c>
      <c r="S115" s="16">
        <v>20</v>
      </c>
      <c r="T115" s="17">
        <v>73</v>
      </c>
      <c r="U115" s="18">
        <v>0.16666666666666666</v>
      </c>
      <c r="W115" s="16">
        <v>0</v>
      </c>
      <c r="X115" s="17">
        <v>0</v>
      </c>
      <c r="Y115" s="17">
        <v>0</v>
      </c>
      <c r="Z115" s="17">
        <v>0</v>
      </c>
      <c r="AA115" s="17">
        <v>0</v>
      </c>
      <c r="AB115" s="17">
        <v>0</v>
      </c>
      <c r="AC115" s="17">
        <v>0</v>
      </c>
      <c r="AD115" s="17">
        <v>0</v>
      </c>
      <c r="AE115" s="17">
        <v>0</v>
      </c>
      <c r="AF115" s="17">
        <v>0</v>
      </c>
      <c r="AG115" s="18">
        <v>1</v>
      </c>
      <c r="AI115" s="16">
        <v>0</v>
      </c>
      <c r="AJ115" s="17">
        <v>0</v>
      </c>
      <c r="AK115" s="17">
        <v>0</v>
      </c>
      <c r="AL115" s="17">
        <v>0</v>
      </c>
      <c r="AM115" s="17">
        <v>0</v>
      </c>
      <c r="AN115" s="17">
        <v>0</v>
      </c>
      <c r="AO115" s="17">
        <v>0</v>
      </c>
      <c r="AP115" s="17">
        <v>0</v>
      </c>
      <c r="AQ115" s="17">
        <v>0</v>
      </c>
      <c r="AR115" s="17">
        <v>0</v>
      </c>
      <c r="AS115" s="17">
        <v>1</v>
      </c>
      <c r="AT115" s="17">
        <v>0</v>
      </c>
      <c r="AU115" s="17">
        <v>0</v>
      </c>
      <c r="AV115" s="17">
        <v>0</v>
      </c>
      <c r="AW115" s="17">
        <v>0</v>
      </c>
      <c r="AX115" s="17">
        <v>0</v>
      </c>
      <c r="AY115" s="17">
        <v>0</v>
      </c>
      <c r="AZ115" s="17">
        <v>0</v>
      </c>
      <c r="BA115" s="17">
        <v>0</v>
      </c>
      <c r="BB115" s="17">
        <v>0</v>
      </c>
      <c r="BC115" s="17">
        <v>0</v>
      </c>
      <c r="BD115" s="17">
        <v>0.51264200000000004</v>
      </c>
      <c r="BE115" s="17">
        <v>0</v>
      </c>
      <c r="BF115" s="17">
        <v>0</v>
      </c>
      <c r="BG115" s="17">
        <v>0</v>
      </c>
      <c r="BH115" s="17">
        <v>0</v>
      </c>
      <c r="BI115" s="17">
        <v>0</v>
      </c>
      <c r="BJ115" s="17">
        <v>0</v>
      </c>
      <c r="BK115" s="17">
        <v>0</v>
      </c>
      <c r="BL115" s="17">
        <v>0</v>
      </c>
      <c r="BM115" s="17">
        <v>0</v>
      </c>
      <c r="BN115" s="17">
        <v>0</v>
      </c>
      <c r="BO115" s="17">
        <v>0.26280182016400006</v>
      </c>
      <c r="BP115" s="17">
        <v>0</v>
      </c>
      <c r="BQ115" s="17">
        <v>0</v>
      </c>
      <c r="BR115" s="17">
        <v>0</v>
      </c>
      <c r="BS115" s="17">
        <v>0</v>
      </c>
      <c r="BT115" s="17">
        <v>0</v>
      </c>
      <c r="BU115" s="17">
        <v>0</v>
      </c>
      <c r="BV115" s="17">
        <v>0</v>
      </c>
      <c r="BW115" s="17">
        <v>0</v>
      </c>
      <c r="BX115" s="17">
        <v>0</v>
      </c>
      <c r="BY115" s="17">
        <v>0</v>
      </c>
      <c r="BZ115" s="17">
        <v>0</v>
      </c>
      <c r="CA115" s="17">
        <v>0</v>
      </c>
      <c r="CB115" s="17">
        <v>0</v>
      </c>
      <c r="CC115" s="17">
        <v>0</v>
      </c>
      <c r="CD115" s="17">
        <v>0</v>
      </c>
      <c r="CE115" s="17">
        <v>0</v>
      </c>
      <c r="CF115" s="17">
        <v>0</v>
      </c>
      <c r="CG115" s="17">
        <v>0</v>
      </c>
      <c r="CH115" s="17">
        <v>0</v>
      </c>
      <c r="CI115" s="17">
        <v>0</v>
      </c>
      <c r="CJ115" s="17">
        <v>0</v>
      </c>
      <c r="CK115" s="18">
        <v>0</v>
      </c>
    </row>
    <row r="116" spans="1:89">
      <c r="A116" s="5" t="s">
        <v>23</v>
      </c>
      <c r="B116" s="44" t="s">
        <v>111</v>
      </c>
      <c r="C116" s="6" t="s">
        <v>118</v>
      </c>
      <c r="D116" s="5">
        <v>101</v>
      </c>
      <c r="E116" s="31">
        <v>9.9526669711580057E-2</v>
      </c>
      <c r="F116" s="38">
        <f t="shared" si="6"/>
        <v>0</v>
      </c>
      <c r="J116" s="44">
        <v>101</v>
      </c>
      <c r="K116" s="73">
        <v>-0.46654699999999999</v>
      </c>
      <c r="L116" s="17">
        <f t="shared" si="4"/>
        <v>0.21766610320899998</v>
      </c>
      <c r="M116" s="52">
        <f t="shared" si="7"/>
        <v>0</v>
      </c>
      <c r="N116" s="18">
        <f t="shared" si="5"/>
        <v>0</v>
      </c>
      <c r="R116" s="60">
        <v>3.7938272041729899E-2</v>
      </c>
      <c r="S116" s="16">
        <v>21</v>
      </c>
      <c r="T116" s="17">
        <v>18</v>
      </c>
      <c r="U116" s="18">
        <v>0.16666666666666666</v>
      </c>
      <c r="W116" s="16">
        <v>0</v>
      </c>
      <c r="X116" s="17">
        <v>0</v>
      </c>
      <c r="Y116" s="17">
        <v>0</v>
      </c>
      <c r="Z116" s="17">
        <v>0</v>
      </c>
      <c r="AA116" s="17">
        <v>0</v>
      </c>
      <c r="AB116" s="17">
        <v>0</v>
      </c>
      <c r="AC116" s="17">
        <v>0</v>
      </c>
      <c r="AD116" s="17">
        <v>0</v>
      </c>
      <c r="AE116" s="17">
        <v>0</v>
      </c>
      <c r="AF116" s="17">
        <v>0</v>
      </c>
      <c r="AG116" s="18">
        <v>1</v>
      </c>
      <c r="AI116" s="16">
        <v>0</v>
      </c>
      <c r="AJ116" s="17">
        <v>0</v>
      </c>
      <c r="AK116" s="17">
        <v>0</v>
      </c>
      <c r="AL116" s="17">
        <v>0</v>
      </c>
      <c r="AM116" s="17">
        <v>0</v>
      </c>
      <c r="AN116" s="17">
        <v>0</v>
      </c>
      <c r="AO116" s="17">
        <v>0</v>
      </c>
      <c r="AP116" s="17">
        <v>0</v>
      </c>
      <c r="AQ116" s="17">
        <v>0</v>
      </c>
      <c r="AR116" s="17">
        <v>0</v>
      </c>
      <c r="AS116" s="17">
        <v>1</v>
      </c>
      <c r="AT116" s="17">
        <v>0</v>
      </c>
      <c r="AU116" s="17">
        <v>0</v>
      </c>
      <c r="AV116" s="17">
        <v>0</v>
      </c>
      <c r="AW116" s="17">
        <v>0</v>
      </c>
      <c r="AX116" s="17">
        <v>0</v>
      </c>
      <c r="AY116" s="17">
        <v>0</v>
      </c>
      <c r="AZ116" s="17">
        <v>0</v>
      </c>
      <c r="BA116" s="17">
        <v>0</v>
      </c>
      <c r="BB116" s="17">
        <v>0</v>
      </c>
      <c r="BC116" s="17">
        <v>0</v>
      </c>
      <c r="BD116" s="17">
        <v>-0.46654699999999999</v>
      </c>
      <c r="BE116" s="17">
        <v>0</v>
      </c>
      <c r="BF116" s="17">
        <v>0</v>
      </c>
      <c r="BG116" s="17">
        <v>0</v>
      </c>
      <c r="BH116" s="17">
        <v>0</v>
      </c>
      <c r="BI116" s="17">
        <v>0</v>
      </c>
      <c r="BJ116" s="17">
        <v>0</v>
      </c>
      <c r="BK116" s="17">
        <v>0</v>
      </c>
      <c r="BL116" s="17">
        <v>0</v>
      </c>
      <c r="BM116" s="17">
        <v>0</v>
      </c>
      <c r="BN116" s="17">
        <v>0</v>
      </c>
      <c r="BO116" s="17">
        <v>0.21766610320899998</v>
      </c>
      <c r="BP116" s="17">
        <v>0</v>
      </c>
      <c r="BQ116" s="17">
        <v>0</v>
      </c>
      <c r="BR116" s="17">
        <v>0</v>
      </c>
      <c r="BS116" s="17">
        <v>0</v>
      </c>
      <c r="BT116" s="17">
        <v>0</v>
      </c>
      <c r="BU116" s="17">
        <v>0</v>
      </c>
      <c r="BV116" s="17">
        <v>0</v>
      </c>
      <c r="BW116" s="17">
        <v>0</v>
      </c>
      <c r="BX116" s="17">
        <v>0</v>
      </c>
      <c r="BY116" s="17">
        <v>0</v>
      </c>
      <c r="BZ116" s="17">
        <v>0</v>
      </c>
      <c r="CA116" s="17">
        <v>0</v>
      </c>
      <c r="CB116" s="17">
        <v>0</v>
      </c>
      <c r="CC116" s="17">
        <v>0</v>
      </c>
      <c r="CD116" s="17">
        <v>0</v>
      </c>
      <c r="CE116" s="17">
        <v>0</v>
      </c>
      <c r="CF116" s="17">
        <v>0</v>
      </c>
      <c r="CG116" s="17">
        <v>0</v>
      </c>
      <c r="CH116" s="17">
        <v>0</v>
      </c>
      <c r="CI116" s="17">
        <v>0</v>
      </c>
      <c r="CJ116" s="17">
        <v>0</v>
      </c>
      <c r="CK116" s="18">
        <v>0</v>
      </c>
    </row>
    <row r="117" spans="1:89">
      <c r="A117" s="5" t="s">
        <v>23</v>
      </c>
      <c r="B117" s="44" t="s">
        <v>111</v>
      </c>
      <c r="C117" s="6" t="s">
        <v>119</v>
      </c>
      <c r="D117" s="5">
        <v>102</v>
      </c>
      <c r="E117" s="31">
        <v>7.8145249332187694E-2</v>
      </c>
      <c r="F117" s="38">
        <f t="shared" si="6"/>
        <v>0</v>
      </c>
      <c r="J117" s="44">
        <v>102</v>
      </c>
      <c r="K117" s="73">
        <v>-0.624834</v>
      </c>
      <c r="L117" s="17">
        <f t="shared" si="4"/>
        <v>0.39041752755600001</v>
      </c>
      <c r="M117" s="52">
        <f t="shared" si="7"/>
        <v>0</v>
      </c>
      <c r="N117" s="18">
        <f t="shared" si="5"/>
        <v>0</v>
      </c>
      <c r="R117" s="60">
        <v>1.22902311640758E-2</v>
      </c>
      <c r="S117" s="16">
        <v>21</v>
      </c>
      <c r="T117" s="17">
        <v>19</v>
      </c>
      <c r="U117" s="18">
        <v>0.16666666666666666</v>
      </c>
      <c r="W117" s="16">
        <v>0</v>
      </c>
      <c r="X117" s="17">
        <v>0</v>
      </c>
      <c r="Y117" s="17">
        <v>0</v>
      </c>
      <c r="Z117" s="17">
        <v>0</v>
      </c>
      <c r="AA117" s="17">
        <v>0</v>
      </c>
      <c r="AB117" s="17">
        <v>0</v>
      </c>
      <c r="AC117" s="17">
        <v>0</v>
      </c>
      <c r="AD117" s="17">
        <v>0</v>
      </c>
      <c r="AE117" s="17">
        <v>0</v>
      </c>
      <c r="AF117" s="17">
        <v>0</v>
      </c>
      <c r="AG117" s="18">
        <v>1</v>
      </c>
      <c r="AI117" s="16">
        <v>0</v>
      </c>
      <c r="AJ117" s="17">
        <v>0</v>
      </c>
      <c r="AK117" s="17">
        <v>0</v>
      </c>
      <c r="AL117" s="17">
        <v>0</v>
      </c>
      <c r="AM117" s="17">
        <v>0</v>
      </c>
      <c r="AN117" s="17">
        <v>0</v>
      </c>
      <c r="AO117" s="17">
        <v>0</v>
      </c>
      <c r="AP117" s="17">
        <v>0</v>
      </c>
      <c r="AQ117" s="17">
        <v>0</v>
      </c>
      <c r="AR117" s="17">
        <v>0</v>
      </c>
      <c r="AS117" s="17">
        <v>1</v>
      </c>
      <c r="AT117" s="17">
        <v>0</v>
      </c>
      <c r="AU117" s="17">
        <v>0</v>
      </c>
      <c r="AV117" s="17">
        <v>0</v>
      </c>
      <c r="AW117" s="17">
        <v>0</v>
      </c>
      <c r="AX117" s="17">
        <v>0</v>
      </c>
      <c r="AY117" s="17">
        <v>0</v>
      </c>
      <c r="AZ117" s="17">
        <v>0</v>
      </c>
      <c r="BA117" s="17">
        <v>0</v>
      </c>
      <c r="BB117" s="17">
        <v>0</v>
      </c>
      <c r="BC117" s="17">
        <v>0</v>
      </c>
      <c r="BD117" s="17">
        <v>-0.624834</v>
      </c>
      <c r="BE117" s="17">
        <v>0</v>
      </c>
      <c r="BF117" s="17">
        <v>0</v>
      </c>
      <c r="BG117" s="17">
        <v>0</v>
      </c>
      <c r="BH117" s="17">
        <v>0</v>
      </c>
      <c r="BI117" s="17">
        <v>0</v>
      </c>
      <c r="BJ117" s="17">
        <v>0</v>
      </c>
      <c r="BK117" s="17">
        <v>0</v>
      </c>
      <c r="BL117" s="17">
        <v>0</v>
      </c>
      <c r="BM117" s="17">
        <v>0</v>
      </c>
      <c r="BN117" s="17">
        <v>0</v>
      </c>
      <c r="BO117" s="17">
        <v>0.39041752755600001</v>
      </c>
      <c r="BP117" s="17">
        <v>0</v>
      </c>
      <c r="BQ117" s="17">
        <v>0</v>
      </c>
      <c r="BR117" s="17">
        <v>0</v>
      </c>
      <c r="BS117" s="17">
        <v>0</v>
      </c>
      <c r="BT117" s="17">
        <v>0</v>
      </c>
      <c r="BU117" s="17">
        <v>0</v>
      </c>
      <c r="BV117" s="17">
        <v>0</v>
      </c>
      <c r="BW117" s="17">
        <v>0</v>
      </c>
      <c r="BX117" s="17">
        <v>0</v>
      </c>
      <c r="BY117" s="17">
        <v>0</v>
      </c>
      <c r="BZ117" s="17">
        <v>0</v>
      </c>
      <c r="CA117" s="17">
        <v>0</v>
      </c>
      <c r="CB117" s="17">
        <v>0</v>
      </c>
      <c r="CC117" s="17">
        <v>0</v>
      </c>
      <c r="CD117" s="17">
        <v>0</v>
      </c>
      <c r="CE117" s="17">
        <v>0</v>
      </c>
      <c r="CF117" s="17">
        <v>0</v>
      </c>
      <c r="CG117" s="17">
        <v>0</v>
      </c>
      <c r="CH117" s="17">
        <v>0</v>
      </c>
      <c r="CI117" s="17">
        <v>0</v>
      </c>
      <c r="CJ117" s="17">
        <v>0</v>
      </c>
      <c r="CK117" s="18">
        <v>0</v>
      </c>
    </row>
    <row r="118" spans="1:89">
      <c r="A118" s="5" t="s">
        <v>23</v>
      </c>
      <c r="B118" s="44" t="s">
        <v>111</v>
      </c>
      <c r="C118" s="6" t="s">
        <v>120</v>
      </c>
      <c r="D118" s="5">
        <v>103</v>
      </c>
      <c r="E118" s="31">
        <v>8.8450369407396895E-2</v>
      </c>
      <c r="F118" s="38">
        <f t="shared" si="6"/>
        <v>0</v>
      </c>
      <c r="J118" s="44">
        <v>103</v>
      </c>
      <c r="K118" s="73">
        <v>-0.93564899999999995</v>
      </c>
      <c r="L118" s="17">
        <f t="shared" si="4"/>
        <v>0.87543905120099996</v>
      </c>
      <c r="M118" s="52">
        <f t="shared" si="7"/>
        <v>0</v>
      </c>
      <c r="N118" s="18">
        <f t="shared" si="5"/>
        <v>0</v>
      </c>
      <c r="R118" s="60">
        <v>2.4070245909973101E-2</v>
      </c>
      <c r="S118" s="16">
        <v>21</v>
      </c>
      <c r="T118" s="17">
        <v>20</v>
      </c>
      <c r="U118" s="18">
        <v>0.16666666666666666</v>
      </c>
      <c r="W118" s="16">
        <v>0</v>
      </c>
      <c r="X118" s="17">
        <v>0</v>
      </c>
      <c r="Y118" s="17">
        <v>0</v>
      </c>
      <c r="Z118" s="17">
        <v>0</v>
      </c>
      <c r="AA118" s="17">
        <v>0</v>
      </c>
      <c r="AB118" s="17">
        <v>0</v>
      </c>
      <c r="AC118" s="17">
        <v>0</v>
      </c>
      <c r="AD118" s="17">
        <v>0</v>
      </c>
      <c r="AE118" s="17">
        <v>0</v>
      </c>
      <c r="AF118" s="17">
        <v>0</v>
      </c>
      <c r="AG118" s="18">
        <v>1</v>
      </c>
      <c r="AI118" s="16">
        <v>0</v>
      </c>
      <c r="AJ118" s="17">
        <v>0</v>
      </c>
      <c r="AK118" s="17">
        <v>0</v>
      </c>
      <c r="AL118" s="17">
        <v>0</v>
      </c>
      <c r="AM118" s="17">
        <v>0</v>
      </c>
      <c r="AN118" s="17">
        <v>0</v>
      </c>
      <c r="AO118" s="17">
        <v>0</v>
      </c>
      <c r="AP118" s="17">
        <v>0</v>
      </c>
      <c r="AQ118" s="17">
        <v>0</v>
      </c>
      <c r="AR118" s="17">
        <v>0</v>
      </c>
      <c r="AS118" s="17">
        <v>1</v>
      </c>
      <c r="AT118" s="17">
        <v>0</v>
      </c>
      <c r="AU118" s="17">
        <v>0</v>
      </c>
      <c r="AV118" s="17">
        <v>0</v>
      </c>
      <c r="AW118" s="17">
        <v>0</v>
      </c>
      <c r="AX118" s="17">
        <v>0</v>
      </c>
      <c r="AY118" s="17">
        <v>0</v>
      </c>
      <c r="AZ118" s="17">
        <v>0</v>
      </c>
      <c r="BA118" s="17">
        <v>0</v>
      </c>
      <c r="BB118" s="17">
        <v>0</v>
      </c>
      <c r="BC118" s="17">
        <v>0</v>
      </c>
      <c r="BD118" s="17">
        <v>-0.93564899999999995</v>
      </c>
      <c r="BE118" s="17">
        <v>0</v>
      </c>
      <c r="BF118" s="17">
        <v>0</v>
      </c>
      <c r="BG118" s="17">
        <v>0</v>
      </c>
      <c r="BH118" s="17">
        <v>0</v>
      </c>
      <c r="BI118" s="17">
        <v>0</v>
      </c>
      <c r="BJ118" s="17">
        <v>0</v>
      </c>
      <c r="BK118" s="17">
        <v>0</v>
      </c>
      <c r="BL118" s="17">
        <v>0</v>
      </c>
      <c r="BM118" s="17">
        <v>0</v>
      </c>
      <c r="BN118" s="17">
        <v>0</v>
      </c>
      <c r="BO118" s="17">
        <v>0.87543905120099996</v>
      </c>
      <c r="BP118" s="17">
        <v>0</v>
      </c>
      <c r="BQ118" s="17">
        <v>0</v>
      </c>
      <c r="BR118" s="17">
        <v>0</v>
      </c>
      <c r="BS118" s="17">
        <v>0</v>
      </c>
      <c r="BT118" s="17">
        <v>0</v>
      </c>
      <c r="BU118" s="17">
        <v>0</v>
      </c>
      <c r="BV118" s="17">
        <v>0</v>
      </c>
      <c r="BW118" s="17">
        <v>0</v>
      </c>
      <c r="BX118" s="17">
        <v>0</v>
      </c>
      <c r="BY118" s="17">
        <v>0</v>
      </c>
      <c r="BZ118" s="17">
        <v>0</v>
      </c>
      <c r="CA118" s="17">
        <v>0</v>
      </c>
      <c r="CB118" s="17">
        <v>0</v>
      </c>
      <c r="CC118" s="17">
        <v>0</v>
      </c>
      <c r="CD118" s="17">
        <v>0</v>
      </c>
      <c r="CE118" s="17">
        <v>0</v>
      </c>
      <c r="CF118" s="17">
        <v>0</v>
      </c>
      <c r="CG118" s="17">
        <v>0</v>
      </c>
      <c r="CH118" s="17">
        <v>0</v>
      </c>
      <c r="CI118" s="17">
        <v>0</v>
      </c>
      <c r="CJ118" s="17">
        <v>0</v>
      </c>
      <c r="CK118" s="18">
        <v>0</v>
      </c>
    </row>
    <row r="119" spans="1:89">
      <c r="A119" s="5" t="s">
        <v>23</v>
      </c>
      <c r="B119" s="44" t="s">
        <v>111</v>
      </c>
      <c r="C119" s="6" t="s">
        <v>121</v>
      </c>
      <c r="D119" s="5">
        <v>104</v>
      </c>
      <c r="E119" s="31">
        <v>8.7212506074037521E-2</v>
      </c>
      <c r="F119" s="38">
        <f t="shared" si="6"/>
        <v>0</v>
      </c>
      <c r="J119" s="44">
        <v>104</v>
      </c>
      <c r="K119" s="73">
        <v>-3.6802000000000001</v>
      </c>
      <c r="L119" s="17">
        <f t="shared" si="4"/>
        <v>13.543872040000002</v>
      </c>
      <c r="M119" s="52">
        <f t="shared" si="7"/>
        <v>0</v>
      </c>
      <c r="N119" s="18">
        <f t="shared" si="5"/>
        <v>0</v>
      </c>
      <c r="R119" s="60">
        <v>2.2307322650812599E-2</v>
      </c>
      <c r="S119" s="16">
        <v>21</v>
      </c>
      <c r="T119" s="17">
        <v>22</v>
      </c>
      <c r="U119" s="18">
        <v>0.16666666666666666</v>
      </c>
      <c r="W119" s="16">
        <v>0</v>
      </c>
      <c r="X119" s="17">
        <v>0</v>
      </c>
      <c r="Y119" s="17">
        <v>0</v>
      </c>
      <c r="Z119" s="17">
        <v>0</v>
      </c>
      <c r="AA119" s="17">
        <v>0</v>
      </c>
      <c r="AB119" s="17">
        <v>0</v>
      </c>
      <c r="AC119" s="17">
        <v>0</v>
      </c>
      <c r="AD119" s="17">
        <v>0</v>
      </c>
      <c r="AE119" s="17">
        <v>0</v>
      </c>
      <c r="AF119" s="17">
        <v>0</v>
      </c>
      <c r="AG119" s="18">
        <v>1</v>
      </c>
      <c r="AI119" s="16">
        <v>0</v>
      </c>
      <c r="AJ119" s="17">
        <v>0</v>
      </c>
      <c r="AK119" s="17">
        <v>0</v>
      </c>
      <c r="AL119" s="17">
        <v>0</v>
      </c>
      <c r="AM119" s="17">
        <v>0</v>
      </c>
      <c r="AN119" s="17">
        <v>0</v>
      </c>
      <c r="AO119" s="17">
        <v>0</v>
      </c>
      <c r="AP119" s="17">
        <v>0</v>
      </c>
      <c r="AQ119" s="17">
        <v>0</v>
      </c>
      <c r="AR119" s="17">
        <v>0</v>
      </c>
      <c r="AS119" s="17">
        <v>1</v>
      </c>
      <c r="AT119" s="17">
        <v>0</v>
      </c>
      <c r="AU119" s="17">
        <v>0</v>
      </c>
      <c r="AV119" s="17">
        <v>0</v>
      </c>
      <c r="AW119" s="17">
        <v>0</v>
      </c>
      <c r="AX119" s="17">
        <v>0</v>
      </c>
      <c r="AY119" s="17">
        <v>0</v>
      </c>
      <c r="AZ119" s="17">
        <v>0</v>
      </c>
      <c r="BA119" s="17">
        <v>0</v>
      </c>
      <c r="BB119" s="17">
        <v>0</v>
      </c>
      <c r="BC119" s="17">
        <v>0</v>
      </c>
      <c r="BD119" s="17">
        <v>-3.6802000000000001</v>
      </c>
      <c r="BE119" s="17">
        <v>0</v>
      </c>
      <c r="BF119" s="17">
        <v>0</v>
      </c>
      <c r="BG119" s="17">
        <v>0</v>
      </c>
      <c r="BH119" s="17">
        <v>0</v>
      </c>
      <c r="BI119" s="17">
        <v>0</v>
      </c>
      <c r="BJ119" s="17">
        <v>0</v>
      </c>
      <c r="BK119" s="17">
        <v>0</v>
      </c>
      <c r="BL119" s="17">
        <v>0</v>
      </c>
      <c r="BM119" s="17">
        <v>0</v>
      </c>
      <c r="BN119" s="17">
        <v>0</v>
      </c>
      <c r="BO119" s="17">
        <v>13.543872040000002</v>
      </c>
      <c r="BP119" s="17">
        <v>0</v>
      </c>
      <c r="BQ119" s="17">
        <v>0</v>
      </c>
      <c r="BR119" s="17">
        <v>0</v>
      </c>
      <c r="BS119" s="17">
        <v>0</v>
      </c>
      <c r="BT119" s="17">
        <v>0</v>
      </c>
      <c r="BU119" s="17">
        <v>0</v>
      </c>
      <c r="BV119" s="17">
        <v>0</v>
      </c>
      <c r="BW119" s="17">
        <v>0</v>
      </c>
      <c r="BX119" s="17">
        <v>0</v>
      </c>
      <c r="BY119" s="17">
        <v>0</v>
      </c>
      <c r="BZ119" s="17">
        <v>0</v>
      </c>
      <c r="CA119" s="17">
        <v>0</v>
      </c>
      <c r="CB119" s="17">
        <v>0</v>
      </c>
      <c r="CC119" s="17">
        <v>0</v>
      </c>
      <c r="CD119" s="17">
        <v>0</v>
      </c>
      <c r="CE119" s="17">
        <v>0</v>
      </c>
      <c r="CF119" s="17">
        <v>0</v>
      </c>
      <c r="CG119" s="17">
        <v>0</v>
      </c>
      <c r="CH119" s="17">
        <v>0</v>
      </c>
      <c r="CI119" s="17">
        <v>0</v>
      </c>
      <c r="CJ119" s="17">
        <v>0</v>
      </c>
      <c r="CK119" s="18">
        <v>0</v>
      </c>
    </row>
    <row r="120" spans="1:89">
      <c r="A120" s="5" t="s">
        <v>23</v>
      </c>
      <c r="B120" s="44" t="s">
        <v>111</v>
      </c>
      <c r="C120" s="6" t="s">
        <v>122</v>
      </c>
      <c r="D120" s="5">
        <v>105</v>
      </c>
      <c r="E120" s="31">
        <v>9.1131450130451153E-2</v>
      </c>
      <c r="F120" s="38">
        <f t="shared" si="6"/>
        <v>0</v>
      </c>
      <c r="J120" s="44">
        <v>105</v>
      </c>
      <c r="K120" s="73">
        <v>-1.7332099999999999</v>
      </c>
      <c r="L120" s="17">
        <f t="shared" si="4"/>
        <v>3.0040169040999998</v>
      </c>
      <c r="M120" s="52">
        <f t="shared" si="7"/>
        <v>0</v>
      </c>
      <c r="N120" s="18">
        <f t="shared" si="5"/>
        <v>0</v>
      </c>
      <c r="R120" s="60">
        <v>2.7160880968536898E-2</v>
      </c>
      <c r="S120" s="16">
        <v>21</v>
      </c>
      <c r="T120" s="17">
        <v>25</v>
      </c>
      <c r="U120" s="18">
        <v>0.16666666666666666</v>
      </c>
      <c r="W120" s="16">
        <v>0</v>
      </c>
      <c r="X120" s="17">
        <v>0</v>
      </c>
      <c r="Y120" s="17">
        <v>0</v>
      </c>
      <c r="Z120" s="17">
        <v>0</v>
      </c>
      <c r="AA120" s="17">
        <v>0</v>
      </c>
      <c r="AB120" s="17">
        <v>0</v>
      </c>
      <c r="AC120" s="17">
        <v>0</v>
      </c>
      <c r="AD120" s="17">
        <v>0</v>
      </c>
      <c r="AE120" s="17">
        <v>0</v>
      </c>
      <c r="AF120" s="17">
        <v>0</v>
      </c>
      <c r="AG120" s="18">
        <v>1</v>
      </c>
      <c r="AI120" s="16">
        <v>0</v>
      </c>
      <c r="AJ120" s="17">
        <v>0</v>
      </c>
      <c r="AK120" s="17">
        <v>0</v>
      </c>
      <c r="AL120" s="17">
        <v>0</v>
      </c>
      <c r="AM120" s="17">
        <v>0</v>
      </c>
      <c r="AN120" s="17">
        <v>0</v>
      </c>
      <c r="AO120" s="17">
        <v>0</v>
      </c>
      <c r="AP120" s="17">
        <v>0</v>
      </c>
      <c r="AQ120" s="17">
        <v>0</v>
      </c>
      <c r="AR120" s="17">
        <v>0</v>
      </c>
      <c r="AS120" s="17">
        <v>1</v>
      </c>
      <c r="AT120" s="17">
        <v>0</v>
      </c>
      <c r="AU120" s="17">
        <v>0</v>
      </c>
      <c r="AV120" s="17">
        <v>0</v>
      </c>
      <c r="AW120" s="17">
        <v>0</v>
      </c>
      <c r="AX120" s="17">
        <v>0</v>
      </c>
      <c r="AY120" s="17">
        <v>0</v>
      </c>
      <c r="AZ120" s="17">
        <v>0</v>
      </c>
      <c r="BA120" s="17">
        <v>0</v>
      </c>
      <c r="BB120" s="17">
        <v>0</v>
      </c>
      <c r="BC120" s="17">
        <v>0</v>
      </c>
      <c r="BD120" s="17">
        <v>-1.7332099999999999</v>
      </c>
      <c r="BE120" s="17">
        <v>0</v>
      </c>
      <c r="BF120" s="17">
        <v>0</v>
      </c>
      <c r="BG120" s="17">
        <v>0</v>
      </c>
      <c r="BH120" s="17">
        <v>0</v>
      </c>
      <c r="BI120" s="17">
        <v>0</v>
      </c>
      <c r="BJ120" s="17">
        <v>0</v>
      </c>
      <c r="BK120" s="17">
        <v>0</v>
      </c>
      <c r="BL120" s="17">
        <v>0</v>
      </c>
      <c r="BM120" s="17">
        <v>0</v>
      </c>
      <c r="BN120" s="17">
        <v>0</v>
      </c>
      <c r="BO120" s="17">
        <v>3.0040169040999998</v>
      </c>
      <c r="BP120" s="17">
        <v>0</v>
      </c>
      <c r="BQ120" s="17">
        <v>0</v>
      </c>
      <c r="BR120" s="17">
        <v>0</v>
      </c>
      <c r="BS120" s="17">
        <v>0</v>
      </c>
      <c r="BT120" s="17">
        <v>0</v>
      </c>
      <c r="BU120" s="17">
        <v>0</v>
      </c>
      <c r="BV120" s="17">
        <v>0</v>
      </c>
      <c r="BW120" s="17">
        <v>0</v>
      </c>
      <c r="BX120" s="17">
        <v>0</v>
      </c>
      <c r="BY120" s="17">
        <v>0</v>
      </c>
      <c r="BZ120" s="17">
        <v>0</v>
      </c>
      <c r="CA120" s="17">
        <v>0</v>
      </c>
      <c r="CB120" s="17">
        <v>0</v>
      </c>
      <c r="CC120" s="17">
        <v>0</v>
      </c>
      <c r="CD120" s="17">
        <v>0</v>
      </c>
      <c r="CE120" s="17">
        <v>0</v>
      </c>
      <c r="CF120" s="17">
        <v>0</v>
      </c>
      <c r="CG120" s="17">
        <v>0</v>
      </c>
      <c r="CH120" s="17">
        <v>0</v>
      </c>
      <c r="CI120" s="17">
        <v>0</v>
      </c>
      <c r="CJ120" s="17">
        <v>0</v>
      </c>
      <c r="CK120" s="18">
        <v>0</v>
      </c>
    </row>
    <row r="121" spans="1:89">
      <c r="A121" s="5" t="s">
        <v>23</v>
      </c>
      <c r="B121" s="44" t="s">
        <v>111</v>
      </c>
      <c r="C121" s="6" t="s">
        <v>123</v>
      </c>
      <c r="D121" s="5">
        <v>106</v>
      </c>
      <c r="E121" s="31">
        <v>9.4829921936444378E-2</v>
      </c>
      <c r="F121" s="38">
        <f t="shared" si="6"/>
        <v>0</v>
      </c>
      <c r="J121" s="44">
        <v>106</v>
      </c>
      <c r="K121" s="73">
        <v>-3.37134</v>
      </c>
      <c r="L121" s="17">
        <f t="shared" si="4"/>
        <v>11.365933395600001</v>
      </c>
      <c r="M121" s="52">
        <f t="shared" si="7"/>
        <v>0</v>
      </c>
      <c r="N121" s="18">
        <f t="shared" si="5"/>
        <v>0</v>
      </c>
      <c r="R121" s="60">
        <v>3.2377463469596801E-2</v>
      </c>
      <c r="S121" s="16">
        <v>21</v>
      </c>
      <c r="T121" s="17">
        <v>107</v>
      </c>
      <c r="U121" s="18">
        <v>0.16666666666666666</v>
      </c>
      <c r="W121" s="16">
        <v>0</v>
      </c>
      <c r="X121" s="17">
        <v>0</v>
      </c>
      <c r="Y121" s="17">
        <v>0</v>
      </c>
      <c r="Z121" s="17">
        <v>0</v>
      </c>
      <c r="AA121" s="17">
        <v>0</v>
      </c>
      <c r="AB121" s="17">
        <v>0</v>
      </c>
      <c r="AC121" s="17">
        <v>0</v>
      </c>
      <c r="AD121" s="17">
        <v>0</v>
      </c>
      <c r="AE121" s="17">
        <v>0</v>
      </c>
      <c r="AF121" s="17">
        <v>0</v>
      </c>
      <c r="AG121" s="18">
        <v>1</v>
      </c>
      <c r="AI121" s="16">
        <v>0</v>
      </c>
      <c r="AJ121" s="17">
        <v>0</v>
      </c>
      <c r="AK121" s="17">
        <v>0</v>
      </c>
      <c r="AL121" s="17">
        <v>0</v>
      </c>
      <c r="AM121" s="17">
        <v>0</v>
      </c>
      <c r="AN121" s="17">
        <v>0</v>
      </c>
      <c r="AO121" s="17">
        <v>0</v>
      </c>
      <c r="AP121" s="17">
        <v>0</v>
      </c>
      <c r="AQ121" s="17">
        <v>0</v>
      </c>
      <c r="AR121" s="17">
        <v>0</v>
      </c>
      <c r="AS121" s="17">
        <v>1</v>
      </c>
      <c r="AT121" s="17">
        <v>0</v>
      </c>
      <c r="AU121" s="17">
        <v>0</v>
      </c>
      <c r="AV121" s="17">
        <v>0</v>
      </c>
      <c r="AW121" s="17">
        <v>0</v>
      </c>
      <c r="AX121" s="17">
        <v>0</v>
      </c>
      <c r="AY121" s="17">
        <v>0</v>
      </c>
      <c r="AZ121" s="17">
        <v>0</v>
      </c>
      <c r="BA121" s="17">
        <v>0</v>
      </c>
      <c r="BB121" s="17">
        <v>0</v>
      </c>
      <c r="BC121" s="17">
        <v>0</v>
      </c>
      <c r="BD121" s="17">
        <v>-3.37134</v>
      </c>
      <c r="BE121" s="17">
        <v>0</v>
      </c>
      <c r="BF121" s="17">
        <v>0</v>
      </c>
      <c r="BG121" s="17">
        <v>0</v>
      </c>
      <c r="BH121" s="17">
        <v>0</v>
      </c>
      <c r="BI121" s="17">
        <v>0</v>
      </c>
      <c r="BJ121" s="17">
        <v>0</v>
      </c>
      <c r="BK121" s="17">
        <v>0</v>
      </c>
      <c r="BL121" s="17">
        <v>0</v>
      </c>
      <c r="BM121" s="17">
        <v>0</v>
      </c>
      <c r="BN121" s="17">
        <v>0</v>
      </c>
      <c r="BO121" s="17">
        <v>11.365933395600001</v>
      </c>
      <c r="BP121" s="17">
        <v>0</v>
      </c>
      <c r="BQ121" s="17">
        <v>0</v>
      </c>
      <c r="BR121" s="17">
        <v>0</v>
      </c>
      <c r="BS121" s="17">
        <v>0</v>
      </c>
      <c r="BT121" s="17">
        <v>0</v>
      </c>
      <c r="BU121" s="17">
        <v>0</v>
      </c>
      <c r="BV121" s="17">
        <v>0</v>
      </c>
      <c r="BW121" s="17">
        <v>0</v>
      </c>
      <c r="BX121" s="17">
        <v>0</v>
      </c>
      <c r="BY121" s="17">
        <v>0</v>
      </c>
      <c r="BZ121" s="17">
        <v>0</v>
      </c>
      <c r="CA121" s="17">
        <v>0</v>
      </c>
      <c r="CB121" s="17">
        <v>0</v>
      </c>
      <c r="CC121" s="17">
        <v>0</v>
      </c>
      <c r="CD121" s="17">
        <v>0</v>
      </c>
      <c r="CE121" s="17">
        <v>0</v>
      </c>
      <c r="CF121" s="17">
        <v>0</v>
      </c>
      <c r="CG121" s="17">
        <v>0</v>
      </c>
      <c r="CH121" s="17">
        <v>0</v>
      </c>
      <c r="CI121" s="17">
        <v>0</v>
      </c>
      <c r="CJ121" s="17">
        <v>0</v>
      </c>
      <c r="CK121" s="18">
        <v>0</v>
      </c>
    </row>
    <row r="122" spans="1:89">
      <c r="A122" s="5" t="s">
        <v>23</v>
      </c>
      <c r="B122" s="44" t="s">
        <v>111</v>
      </c>
      <c r="C122" s="6" t="s">
        <v>124</v>
      </c>
      <c r="D122" s="5">
        <v>107</v>
      </c>
      <c r="E122" s="31">
        <v>6.9649507488217147E-2</v>
      </c>
      <c r="F122" s="38">
        <f t="shared" si="6"/>
        <v>0</v>
      </c>
      <c r="J122" s="44">
        <v>107</v>
      </c>
      <c r="K122" s="73">
        <v>-5.2871899999999998</v>
      </c>
      <c r="L122" s="17">
        <f t="shared" si="4"/>
        <v>27.954378096099997</v>
      </c>
      <c r="M122" s="52">
        <f t="shared" si="7"/>
        <v>0</v>
      </c>
      <c r="N122" s="18">
        <f t="shared" si="5"/>
        <v>0</v>
      </c>
      <c r="R122" s="60">
        <v>0</v>
      </c>
      <c r="S122" s="16">
        <v>22</v>
      </c>
      <c r="T122" s="17">
        <v>21</v>
      </c>
      <c r="U122" s="18">
        <v>0.33333333333333331</v>
      </c>
      <c r="W122" s="16">
        <v>0</v>
      </c>
      <c r="X122" s="17">
        <v>0</v>
      </c>
      <c r="Y122" s="17">
        <v>0</v>
      </c>
      <c r="Z122" s="17">
        <v>0</v>
      </c>
      <c r="AA122" s="17">
        <v>0</v>
      </c>
      <c r="AB122" s="17">
        <v>0</v>
      </c>
      <c r="AC122" s="17">
        <v>0</v>
      </c>
      <c r="AD122" s="17">
        <v>0</v>
      </c>
      <c r="AE122" s="17">
        <v>0</v>
      </c>
      <c r="AF122" s="17">
        <v>0</v>
      </c>
      <c r="AG122" s="18">
        <v>1</v>
      </c>
      <c r="AI122" s="16">
        <v>0</v>
      </c>
      <c r="AJ122" s="17">
        <v>0</v>
      </c>
      <c r="AK122" s="17">
        <v>0</v>
      </c>
      <c r="AL122" s="17">
        <v>0</v>
      </c>
      <c r="AM122" s="17">
        <v>0</v>
      </c>
      <c r="AN122" s="17">
        <v>0</v>
      </c>
      <c r="AO122" s="17">
        <v>0</v>
      </c>
      <c r="AP122" s="17">
        <v>0</v>
      </c>
      <c r="AQ122" s="17">
        <v>0</v>
      </c>
      <c r="AR122" s="17">
        <v>0</v>
      </c>
      <c r="AS122" s="17">
        <v>1</v>
      </c>
      <c r="AT122" s="17">
        <v>0</v>
      </c>
      <c r="AU122" s="17">
        <v>0</v>
      </c>
      <c r="AV122" s="17">
        <v>0</v>
      </c>
      <c r="AW122" s="17">
        <v>0</v>
      </c>
      <c r="AX122" s="17">
        <v>0</v>
      </c>
      <c r="AY122" s="17">
        <v>0</v>
      </c>
      <c r="AZ122" s="17">
        <v>0</v>
      </c>
      <c r="BA122" s="17">
        <v>0</v>
      </c>
      <c r="BB122" s="17">
        <v>0</v>
      </c>
      <c r="BC122" s="17">
        <v>0</v>
      </c>
      <c r="BD122" s="17">
        <v>-5.2871899999999998</v>
      </c>
      <c r="BE122" s="17">
        <v>0</v>
      </c>
      <c r="BF122" s="17">
        <v>0</v>
      </c>
      <c r="BG122" s="17">
        <v>0</v>
      </c>
      <c r="BH122" s="17">
        <v>0</v>
      </c>
      <c r="BI122" s="17">
        <v>0</v>
      </c>
      <c r="BJ122" s="17">
        <v>0</v>
      </c>
      <c r="BK122" s="17">
        <v>0</v>
      </c>
      <c r="BL122" s="17">
        <v>0</v>
      </c>
      <c r="BM122" s="17">
        <v>0</v>
      </c>
      <c r="BN122" s="17">
        <v>0</v>
      </c>
      <c r="BO122" s="17">
        <v>27.954378096099997</v>
      </c>
      <c r="BP122" s="17">
        <v>0</v>
      </c>
      <c r="BQ122" s="17">
        <v>0</v>
      </c>
      <c r="BR122" s="17">
        <v>0</v>
      </c>
      <c r="BS122" s="17">
        <v>0</v>
      </c>
      <c r="BT122" s="17">
        <v>0</v>
      </c>
      <c r="BU122" s="17">
        <v>0</v>
      </c>
      <c r="BV122" s="17">
        <v>0</v>
      </c>
      <c r="BW122" s="17">
        <v>0</v>
      </c>
      <c r="BX122" s="17">
        <v>0</v>
      </c>
      <c r="BY122" s="17">
        <v>0</v>
      </c>
      <c r="BZ122" s="17">
        <v>0</v>
      </c>
      <c r="CA122" s="17">
        <v>0</v>
      </c>
      <c r="CB122" s="17">
        <v>0</v>
      </c>
      <c r="CC122" s="17">
        <v>0</v>
      </c>
      <c r="CD122" s="17">
        <v>0</v>
      </c>
      <c r="CE122" s="17">
        <v>0</v>
      </c>
      <c r="CF122" s="17">
        <v>0</v>
      </c>
      <c r="CG122" s="17">
        <v>0</v>
      </c>
      <c r="CH122" s="17">
        <v>0</v>
      </c>
      <c r="CI122" s="17">
        <v>0</v>
      </c>
      <c r="CJ122" s="17">
        <v>0</v>
      </c>
      <c r="CK122" s="18">
        <v>0</v>
      </c>
    </row>
    <row r="123" spans="1:89" ht="15.75" thickBot="1">
      <c r="A123" s="7" t="s">
        <v>23</v>
      </c>
      <c r="B123" s="45" t="s">
        <v>111</v>
      </c>
      <c r="C123" s="8" t="s">
        <v>125</v>
      </c>
      <c r="D123" s="7">
        <v>108</v>
      </c>
      <c r="E123" s="32">
        <v>0.10495968770718245</v>
      </c>
      <c r="F123" s="39">
        <f t="shared" si="6"/>
        <v>0</v>
      </c>
      <c r="J123" s="45">
        <v>108</v>
      </c>
      <c r="K123" s="73">
        <v>-1.9140299999999999</v>
      </c>
      <c r="L123" s="20">
        <f t="shared" si="4"/>
        <v>3.6635108408999995</v>
      </c>
      <c r="M123" s="53">
        <f t="shared" si="7"/>
        <v>0</v>
      </c>
      <c r="N123" s="21">
        <f t="shared" si="5"/>
        <v>0</v>
      </c>
      <c r="R123" s="51">
        <v>4.09186060260028E-2</v>
      </c>
      <c r="S123" s="16">
        <v>22</v>
      </c>
      <c r="T123" s="17">
        <v>25</v>
      </c>
      <c r="U123" s="18">
        <v>0.33333333333333331</v>
      </c>
      <c r="W123" s="19">
        <v>0</v>
      </c>
      <c r="X123" s="20">
        <v>0</v>
      </c>
      <c r="Y123" s="20">
        <v>0</v>
      </c>
      <c r="Z123" s="20">
        <v>0</v>
      </c>
      <c r="AA123" s="20">
        <v>0</v>
      </c>
      <c r="AB123" s="20">
        <v>0</v>
      </c>
      <c r="AC123" s="20">
        <v>0</v>
      </c>
      <c r="AD123" s="20">
        <v>0</v>
      </c>
      <c r="AE123" s="20">
        <v>0</v>
      </c>
      <c r="AF123" s="20">
        <v>0</v>
      </c>
      <c r="AG123" s="21">
        <v>1</v>
      </c>
      <c r="AI123" s="19">
        <v>0</v>
      </c>
      <c r="AJ123" s="20">
        <v>0</v>
      </c>
      <c r="AK123" s="20">
        <v>0</v>
      </c>
      <c r="AL123" s="20">
        <v>0</v>
      </c>
      <c r="AM123" s="20">
        <v>0</v>
      </c>
      <c r="AN123" s="20">
        <v>0</v>
      </c>
      <c r="AO123" s="20">
        <v>0</v>
      </c>
      <c r="AP123" s="20">
        <v>0</v>
      </c>
      <c r="AQ123" s="20">
        <v>0</v>
      </c>
      <c r="AR123" s="20">
        <v>0</v>
      </c>
      <c r="AS123" s="20">
        <v>1</v>
      </c>
      <c r="AT123" s="20">
        <v>0</v>
      </c>
      <c r="AU123" s="20">
        <v>0</v>
      </c>
      <c r="AV123" s="20">
        <v>0</v>
      </c>
      <c r="AW123" s="20">
        <v>0</v>
      </c>
      <c r="AX123" s="20">
        <v>0</v>
      </c>
      <c r="AY123" s="20">
        <v>0</v>
      </c>
      <c r="AZ123" s="20">
        <v>0</v>
      </c>
      <c r="BA123" s="20">
        <v>0</v>
      </c>
      <c r="BB123" s="20">
        <v>0</v>
      </c>
      <c r="BC123" s="20">
        <v>0</v>
      </c>
      <c r="BD123" s="20">
        <v>-1.9140299999999999</v>
      </c>
      <c r="BE123" s="20">
        <v>0</v>
      </c>
      <c r="BF123" s="20">
        <v>0</v>
      </c>
      <c r="BG123" s="20">
        <v>0</v>
      </c>
      <c r="BH123" s="20">
        <v>0</v>
      </c>
      <c r="BI123" s="20">
        <v>0</v>
      </c>
      <c r="BJ123" s="20">
        <v>0</v>
      </c>
      <c r="BK123" s="20">
        <v>0</v>
      </c>
      <c r="BL123" s="20">
        <v>0</v>
      </c>
      <c r="BM123" s="20">
        <v>0</v>
      </c>
      <c r="BN123" s="20">
        <v>0</v>
      </c>
      <c r="BO123" s="20">
        <v>3.6635108408999995</v>
      </c>
      <c r="BP123" s="20">
        <v>0</v>
      </c>
      <c r="BQ123" s="20">
        <v>0</v>
      </c>
      <c r="BR123" s="20">
        <v>0</v>
      </c>
      <c r="BS123" s="20">
        <v>0</v>
      </c>
      <c r="BT123" s="20">
        <v>0</v>
      </c>
      <c r="BU123" s="20">
        <v>0</v>
      </c>
      <c r="BV123" s="20">
        <v>0</v>
      </c>
      <c r="BW123" s="20">
        <v>0</v>
      </c>
      <c r="BX123" s="20">
        <v>0</v>
      </c>
      <c r="BY123" s="20">
        <v>0</v>
      </c>
      <c r="BZ123" s="20">
        <v>0</v>
      </c>
      <c r="CA123" s="20">
        <v>0</v>
      </c>
      <c r="CB123" s="20">
        <v>0</v>
      </c>
      <c r="CC123" s="20">
        <v>0</v>
      </c>
      <c r="CD123" s="20">
        <v>0</v>
      </c>
      <c r="CE123" s="20">
        <v>0</v>
      </c>
      <c r="CF123" s="20">
        <v>0</v>
      </c>
      <c r="CG123" s="20">
        <v>0</v>
      </c>
      <c r="CH123" s="20">
        <v>0</v>
      </c>
      <c r="CI123" s="20">
        <v>0</v>
      </c>
      <c r="CJ123" s="20">
        <v>0</v>
      </c>
      <c r="CK123" s="21">
        <v>0</v>
      </c>
    </row>
    <row r="124" spans="1:89">
      <c r="S124" s="16">
        <v>22</v>
      </c>
      <c r="T124" s="17">
        <v>107</v>
      </c>
      <c r="U124" s="18">
        <v>0.33333333333333331</v>
      </c>
    </row>
    <row r="125" spans="1:89">
      <c r="S125" s="16">
        <v>23</v>
      </c>
      <c r="T125" s="17">
        <v>15</v>
      </c>
      <c r="U125" s="18">
        <v>0.2</v>
      </c>
    </row>
    <row r="126" spans="1:89">
      <c r="S126" s="16">
        <v>23</v>
      </c>
      <c r="T126" s="17">
        <v>16</v>
      </c>
      <c r="U126" s="18">
        <v>0.2</v>
      </c>
    </row>
    <row r="127" spans="1:89">
      <c r="S127" s="16">
        <v>23</v>
      </c>
      <c r="T127" s="17">
        <v>19</v>
      </c>
      <c r="U127" s="18">
        <v>0.2</v>
      </c>
    </row>
    <row r="128" spans="1:89">
      <c r="S128" s="16">
        <v>23</v>
      </c>
      <c r="T128" s="17">
        <v>24</v>
      </c>
      <c r="U128" s="18">
        <v>0.2</v>
      </c>
    </row>
    <row r="129" spans="19:21">
      <c r="S129" s="16">
        <v>23</v>
      </c>
      <c r="T129" s="17">
        <v>34</v>
      </c>
      <c r="U129" s="18">
        <v>0.2</v>
      </c>
    </row>
    <row r="130" spans="19:21">
      <c r="S130" s="16">
        <v>24</v>
      </c>
      <c r="T130" s="17">
        <v>15</v>
      </c>
      <c r="U130" s="18">
        <v>0.2</v>
      </c>
    </row>
    <row r="131" spans="19:21">
      <c r="S131" s="16">
        <v>24</v>
      </c>
      <c r="T131" s="17">
        <v>16</v>
      </c>
      <c r="U131" s="18">
        <v>0.2</v>
      </c>
    </row>
    <row r="132" spans="19:21">
      <c r="S132" s="16">
        <v>24</v>
      </c>
      <c r="T132" s="17">
        <v>23</v>
      </c>
      <c r="U132" s="18">
        <v>0.2</v>
      </c>
    </row>
    <row r="133" spans="19:21">
      <c r="S133" s="16">
        <v>24</v>
      </c>
      <c r="T133" s="17">
        <v>31</v>
      </c>
      <c r="U133" s="18">
        <v>0.2</v>
      </c>
    </row>
    <row r="134" spans="19:21">
      <c r="S134" s="16">
        <v>24</v>
      </c>
      <c r="T134" s="17">
        <v>71</v>
      </c>
      <c r="U134" s="18">
        <v>0.2</v>
      </c>
    </row>
    <row r="135" spans="19:21">
      <c r="S135" s="16">
        <v>25</v>
      </c>
      <c r="T135" s="17">
        <v>17</v>
      </c>
      <c r="U135" s="18">
        <v>0.2</v>
      </c>
    </row>
    <row r="136" spans="19:21">
      <c r="S136" s="16">
        <v>25</v>
      </c>
      <c r="T136" s="17">
        <v>18</v>
      </c>
      <c r="U136" s="18">
        <v>0.2</v>
      </c>
    </row>
    <row r="137" spans="19:21">
      <c r="S137" s="16">
        <v>25</v>
      </c>
      <c r="T137" s="17">
        <v>21</v>
      </c>
      <c r="U137" s="18">
        <v>0.2</v>
      </c>
    </row>
    <row r="138" spans="19:21">
      <c r="S138" s="16">
        <v>25</v>
      </c>
      <c r="T138" s="17">
        <v>22</v>
      </c>
      <c r="U138" s="18">
        <v>0.2</v>
      </c>
    </row>
    <row r="139" spans="19:21">
      <c r="S139" s="16">
        <v>25</v>
      </c>
      <c r="T139" s="17">
        <v>26</v>
      </c>
      <c r="U139" s="18">
        <v>0.2</v>
      </c>
    </row>
    <row r="140" spans="19:21">
      <c r="S140" s="16">
        <v>26</v>
      </c>
      <c r="T140" s="17">
        <v>17</v>
      </c>
      <c r="U140" s="18">
        <v>0.33333333333333331</v>
      </c>
    </row>
    <row r="141" spans="19:21">
      <c r="S141" s="16">
        <v>26</v>
      </c>
      <c r="T141" s="17">
        <v>25</v>
      </c>
      <c r="U141" s="18">
        <v>0.33333333333333331</v>
      </c>
    </row>
    <row r="142" spans="19:21">
      <c r="S142" s="16">
        <v>26</v>
      </c>
      <c r="T142" s="17">
        <v>29</v>
      </c>
      <c r="U142" s="18">
        <v>0.33333333333333331</v>
      </c>
    </row>
    <row r="143" spans="19:21">
      <c r="S143" s="16">
        <v>27</v>
      </c>
      <c r="T143" s="17">
        <v>17</v>
      </c>
      <c r="U143" s="18">
        <v>0.33333333333333331</v>
      </c>
    </row>
    <row r="144" spans="19:21">
      <c r="S144" s="16">
        <v>27</v>
      </c>
      <c r="T144" s="17">
        <v>28</v>
      </c>
      <c r="U144" s="18">
        <v>0.33333333333333331</v>
      </c>
    </row>
    <row r="145" spans="19:21">
      <c r="S145" s="16">
        <v>27</v>
      </c>
      <c r="T145" s="17">
        <v>29</v>
      </c>
      <c r="U145" s="18">
        <v>0.33333333333333331</v>
      </c>
    </row>
    <row r="146" spans="19:21">
      <c r="S146" s="16">
        <v>28</v>
      </c>
      <c r="T146" s="17">
        <v>17</v>
      </c>
      <c r="U146" s="18">
        <v>0.2</v>
      </c>
    </row>
    <row r="147" spans="19:21">
      <c r="S147" s="16">
        <v>28</v>
      </c>
      <c r="T147" s="17">
        <v>27</v>
      </c>
      <c r="U147" s="18">
        <v>0.2</v>
      </c>
    </row>
    <row r="148" spans="19:21">
      <c r="S148" s="16">
        <v>28</v>
      </c>
      <c r="T148" s="17">
        <v>74</v>
      </c>
      <c r="U148" s="18">
        <v>0.2</v>
      </c>
    </row>
    <row r="149" spans="19:21">
      <c r="S149" s="16">
        <v>28</v>
      </c>
      <c r="T149" s="17">
        <v>75</v>
      </c>
      <c r="U149" s="18">
        <v>0.2</v>
      </c>
    </row>
    <row r="150" spans="19:21">
      <c r="S150" s="16">
        <v>28</v>
      </c>
      <c r="T150" s="17">
        <v>77</v>
      </c>
      <c r="U150" s="18">
        <v>0.2</v>
      </c>
    </row>
    <row r="151" spans="19:21">
      <c r="S151" s="16">
        <v>29</v>
      </c>
      <c r="T151" s="17">
        <v>17</v>
      </c>
      <c r="U151" s="18">
        <v>0.33333333333333331</v>
      </c>
    </row>
    <row r="152" spans="19:21">
      <c r="S152" s="16">
        <v>29</v>
      </c>
      <c r="T152" s="17">
        <v>26</v>
      </c>
      <c r="U152" s="18">
        <v>0.33333333333333331</v>
      </c>
    </row>
    <row r="153" spans="19:21">
      <c r="S153" s="16">
        <v>29</v>
      </c>
      <c r="T153" s="17">
        <v>27</v>
      </c>
      <c r="U153" s="18">
        <v>0.33333333333333331</v>
      </c>
    </row>
    <row r="154" spans="19:21">
      <c r="S154" s="16">
        <v>30</v>
      </c>
      <c r="T154" s="17">
        <v>32</v>
      </c>
      <c r="U154" s="18">
        <v>0.25</v>
      </c>
    </row>
    <row r="155" spans="19:21">
      <c r="S155" s="16">
        <v>30</v>
      </c>
      <c r="T155" s="17">
        <v>33</v>
      </c>
      <c r="U155" s="18">
        <v>0.25</v>
      </c>
    </row>
    <row r="156" spans="19:21">
      <c r="S156" s="16">
        <v>30</v>
      </c>
      <c r="T156" s="17">
        <v>35</v>
      </c>
      <c r="U156" s="18">
        <v>0.25</v>
      </c>
    </row>
    <row r="157" spans="19:21">
      <c r="S157" s="16">
        <v>30</v>
      </c>
      <c r="T157" s="17">
        <v>65</v>
      </c>
      <c r="U157" s="18">
        <v>0.25</v>
      </c>
    </row>
    <row r="158" spans="19:21">
      <c r="S158" s="16">
        <v>31</v>
      </c>
      <c r="T158" s="17">
        <v>16</v>
      </c>
      <c r="U158" s="18">
        <v>0.16666666666666666</v>
      </c>
    </row>
    <row r="159" spans="19:21">
      <c r="S159" s="16">
        <v>31</v>
      </c>
      <c r="T159" s="17">
        <v>24</v>
      </c>
      <c r="U159" s="18">
        <v>0.16666666666666666</v>
      </c>
    </row>
    <row r="160" spans="19:21">
      <c r="S160" s="16">
        <v>31</v>
      </c>
      <c r="T160" s="17">
        <v>32</v>
      </c>
      <c r="U160" s="18">
        <v>0.16666666666666666</v>
      </c>
    </row>
    <row r="161" spans="19:21">
      <c r="S161" s="16">
        <v>31</v>
      </c>
      <c r="T161" s="17">
        <v>33</v>
      </c>
      <c r="U161" s="18">
        <v>0.16666666666666666</v>
      </c>
    </row>
    <row r="162" spans="19:21">
      <c r="S162" s="16">
        <v>31</v>
      </c>
      <c r="T162" s="17">
        <v>34</v>
      </c>
      <c r="U162" s="18">
        <v>0.16666666666666666</v>
      </c>
    </row>
    <row r="163" spans="19:21">
      <c r="S163" s="16">
        <v>31</v>
      </c>
      <c r="T163" s="17">
        <v>71</v>
      </c>
      <c r="U163" s="18">
        <v>0.16666666666666666</v>
      </c>
    </row>
    <row r="164" spans="19:21">
      <c r="S164" s="16">
        <v>32</v>
      </c>
      <c r="T164" s="17">
        <v>30</v>
      </c>
      <c r="U164" s="18">
        <v>0.25</v>
      </c>
    </row>
    <row r="165" spans="19:21">
      <c r="S165" s="16">
        <v>32</v>
      </c>
      <c r="T165" s="17">
        <v>31</v>
      </c>
      <c r="U165" s="18">
        <v>0.25</v>
      </c>
    </row>
    <row r="166" spans="19:21">
      <c r="S166" s="16">
        <v>32</v>
      </c>
      <c r="T166" s="17">
        <v>33</v>
      </c>
      <c r="U166" s="18">
        <v>0.25</v>
      </c>
    </row>
    <row r="167" spans="19:21">
      <c r="S167" s="16">
        <v>32</v>
      </c>
      <c r="T167" s="17">
        <v>71</v>
      </c>
      <c r="U167" s="18">
        <v>0.25</v>
      </c>
    </row>
    <row r="168" spans="19:21">
      <c r="S168" s="16">
        <v>33</v>
      </c>
      <c r="T168" s="17">
        <v>19</v>
      </c>
      <c r="U168" s="18">
        <v>9.0909090909090912E-2</v>
      </c>
    </row>
    <row r="169" spans="19:21">
      <c r="S169" s="16">
        <v>33</v>
      </c>
      <c r="T169" s="17">
        <v>30</v>
      </c>
      <c r="U169" s="18">
        <v>9.0909090909090912E-2</v>
      </c>
    </row>
    <row r="170" spans="19:21">
      <c r="S170" s="16">
        <v>33</v>
      </c>
      <c r="T170" s="17">
        <v>31</v>
      </c>
      <c r="U170" s="18">
        <v>9.0909090909090912E-2</v>
      </c>
    </row>
    <row r="171" spans="19:21">
      <c r="S171" s="16">
        <v>33</v>
      </c>
      <c r="T171" s="17">
        <v>32</v>
      </c>
      <c r="U171" s="18">
        <v>9.0909090909090912E-2</v>
      </c>
    </row>
    <row r="172" spans="19:21">
      <c r="S172" s="16">
        <v>33</v>
      </c>
      <c r="T172" s="17">
        <v>34</v>
      </c>
      <c r="U172" s="18">
        <v>9.0909090909090912E-2</v>
      </c>
    </row>
    <row r="173" spans="19:21">
      <c r="S173" s="16">
        <v>33</v>
      </c>
      <c r="T173" s="17">
        <v>57</v>
      </c>
      <c r="U173" s="18">
        <v>9.0909090909090912E-2</v>
      </c>
    </row>
    <row r="174" spans="19:21">
      <c r="S174" s="16">
        <v>33</v>
      </c>
      <c r="T174" s="17">
        <v>59</v>
      </c>
      <c r="U174" s="18">
        <v>9.0909090909090912E-2</v>
      </c>
    </row>
    <row r="175" spans="19:21">
      <c r="S175" s="16">
        <v>33</v>
      </c>
      <c r="T175" s="17">
        <v>65</v>
      </c>
      <c r="U175" s="18">
        <v>9.0909090909090912E-2</v>
      </c>
    </row>
    <row r="176" spans="19:21">
      <c r="S176" s="16">
        <v>33</v>
      </c>
      <c r="T176" s="17">
        <v>101</v>
      </c>
      <c r="U176" s="18">
        <v>9.0909090909090912E-2</v>
      </c>
    </row>
    <row r="177" spans="19:21">
      <c r="S177" s="16">
        <v>33</v>
      </c>
      <c r="T177" s="17">
        <v>104</v>
      </c>
      <c r="U177" s="18">
        <v>9.0909090909090912E-2</v>
      </c>
    </row>
    <row r="178" spans="19:21">
      <c r="S178" s="16">
        <v>33</v>
      </c>
      <c r="T178" s="17">
        <v>108</v>
      </c>
      <c r="U178" s="18">
        <v>9.0909090909090912E-2</v>
      </c>
    </row>
    <row r="179" spans="19:21">
      <c r="S179" s="16">
        <v>34</v>
      </c>
      <c r="T179" s="17">
        <v>16</v>
      </c>
      <c r="U179" s="18">
        <v>0.14285714285714285</v>
      </c>
    </row>
    <row r="180" spans="19:21">
      <c r="S180" s="16">
        <v>34</v>
      </c>
      <c r="T180" s="17">
        <v>19</v>
      </c>
      <c r="U180" s="18">
        <v>0.14285714285714285</v>
      </c>
    </row>
    <row r="181" spans="19:21">
      <c r="S181" s="16">
        <v>34</v>
      </c>
      <c r="T181" s="17">
        <v>23</v>
      </c>
      <c r="U181" s="18">
        <v>0.14285714285714285</v>
      </c>
    </row>
    <row r="182" spans="19:21">
      <c r="S182" s="16">
        <v>34</v>
      </c>
      <c r="T182" s="17">
        <v>31</v>
      </c>
      <c r="U182" s="18">
        <v>0.14285714285714285</v>
      </c>
    </row>
    <row r="183" spans="19:21">
      <c r="S183" s="16">
        <v>34</v>
      </c>
      <c r="T183" s="17">
        <v>33</v>
      </c>
      <c r="U183" s="18">
        <v>0.14285714285714285</v>
      </c>
    </row>
    <row r="184" spans="19:21">
      <c r="S184" s="16">
        <v>34</v>
      </c>
      <c r="T184" s="17">
        <v>104</v>
      </c>
      <c r="U184" s="18">
        <v>0.14285714285714285</v>
      </c>
    </row>
    <row r="185" spans="19:21">
      <c r="S185" s="16">
        <v>34</v>
      </c>
      <c r="T185" s="17">
        <v>108</v>
      </c>
      <c r="U185" s="18">
        <v>0.14285714285714285</v>
      </c>
    </row>
    <row r="186" spans="19:21">
      <c r="S186" s="16">
        <v>35</v>
      </c>
      <c r="T186" s="17">
        <v>30</v>
      </c>
      <c r="U186" s="18">
        <v>0.25</v>
      </c>
    </row>
    <row r="187" spans="19:21">
      <c r="S187" s="16">
        <v>35</v>
      </c>
      <c r="T187" s="17">
        <v>65</v>
      </c>
      <c r="U187" s="18">
        <v>0.25</v>
      </c>
    </row>
    <row r="188" spans="19:21">
      <c r="S188" s="16">
        <v>35</v>
      </c>
      <c r="T188" s="17">
        <v>66</v>
      </c>
      <c r="U188" s="18">
        <v>0.25</v>
      </c>
    </row>
    <row r="189" spans="19:21">
      <c r="S189" s="16">
        <v>35</v>
      </c>
      <c r="T189" s="17">
        <v>68</v>
      </c>
      <c r="U189" s="18">
        <v>0.25</v>
      </c>
    </row>
    <row r="190" spans="19:21">
      <c r="S190" s="16">
        <v>36</v>
      </c>
      <c r="T190" s="17">
        <v>37</v>
      </c>
      <c r="U190" s="18">
        <v>0.125</v>
      </c>
    </row>
    <row r="191" spans="19:21">
      <c r="S191" s="16">
        <v>36</v>
      </c>
      <c r="T191" s="17">
        <v>41</v>
      </c>
      <c r="U191" s="18">
        <v>0.125</v>
      </c>
    </row>
    <row r="192" spans="19:21">
      <c r="S192" s="16">
        <v>36</v>
      </c>
      <c r="T192" s="17">
        <v>43</v>
      </c>
      <c r="U192" s="18">
        <v>0.125</v>
      </c>
    </row>
    <row r="193" spans="19:21">
      <c r="S193" s="16">
        <v>36</v>
      </c>
      <c r="T193" s="17">
        <v>45</v>
      </c>
      <c r="U193" s="18">
        <v>0.125</v>
      </c>
    </row>
    <row r="194" spans="19:21">
      <c r="S194" s="16">
        <v>36</v>
      </c>
      <c r="T194" s="17">
        <v>46</v>
      </c>
      <c r="U194" s="18">
        <v>0.125</v>
      </c>
    </row>
    <row r="195" spans="19:21">
      <c r="S195" s="16">
        <v>36</v>
      </c>
      <c r="T195" s="17">
        <v>47</v>
      </c>
      <c r="U195" s="18">
        <v>0.125</v>
      </c>
    </row>
    <row r="196" spans="19:21">
      <c r="S196" s="16">
        <v>36</v>
      </c>
      <c r="T196" s="17">
        <v>50</v>
      </c>
      <c r="U196" s="18">
        <v>0.125</v>
      </c>
    </row>
    <row r="197" spans="19:21">
      <c r="S197" s="16">
        <v>36</v>
      </c>
      <c r="T197" s="17">
        <v>53</v>
      </c>
      <c r="U197" s="18">
        <v>0.125</v>
      </c>
    </row>
    <row r="198" spans="19:21">
      <c r="S198" s="16">
        <v>37</v>
      </c>
      <c r="T198" s="17">
        <v>36</v>
      </c>
      <c r="U198" s="18">
        <v>0.25</v>
      </c>
    </row>
    <row r="199" spans="19:21">
      <c r="S199" s="16">
        <v>37</v>
      </c>
      <c r="T199" s="17">
        <v>43</v>
      </c>
      <c r="U199" s="18">
        <v>0.25</v>
      </c>
    </row>
    <row r="200" spans="19:21">
      <c r="S200" s="16">
        <v>37</v>
      </c>
      <c r="T200" s="17">
        <v>44</v>
      </c>
      <c r="U200" s="18">
        <v>0.25</v>
      </c>
    </row>
    <row r="201" spans="19:21">
      <c r="S201" s="16">
        <v>37</v>
      </c>
      <c r="T201" s="17">
        <v>53</v>
      </c>
      <c r="U201" s="18">
        <v>0.25</v>
      </c>
    </row>
    <row r="202" spans="19:21">
      <c r="S202" s="16">
        <v>38</v>
      </c>
      <c r="T202" s="17">
        <v>52</v>
      </c>
      <c r="U202" s="18">
        <v>1</v>
      </c>
    </row>
    <row r="203" spans="19:21">
      <c r="S203" s="16">
        <v>39</v>
      </c>
      <c r="T203" s="17">
        <v>46</v>
      </c>
      <c r="U203" s="18">
        <v>0.25</v>
      </c>
    </row>
    <row r="204" spans="19:21">
      <c r="S204" s="16">
        <v>39</v>
      </c>
      <c r="T204" s="17">
        <v>48</v>
      </c>
      <c r="U204" s="18">
        <v>0.25</v>
      </c>
    </row>
    <row r="205" spans="19:21">
      <c r="S205" s="16">
        <v>39</v>
      </c>
      <c r="T205" s="17">
        <v>49</v>
      </c>
      <c r="U205" s="18">
        <v>0.25</v>
      </c>
    </row>
    <row r="206" spans="19:21">
      <c r="S206" s="16">
        <v>39</v>
      </c>
      <c r="T206" s="17">
        <v>51</v>
      </c>
      <c r="U206" s="18">
        <v>0.25</v>
      </c>
    </row>
    <row r="207" spans="19:21">
      <c r="S207" s="16">
        <v>40</v>
      </c>
      <c r="T207" s="17">
        <v>42</v>
      </c>
      <c r="U207" s="18">
        <v>0.2</v>
      </c>
    </row>
    <row r="208" spans="19:21">
      <c r="S208" s="16">
        <v>40</v>
      </c>
      <c r="T208" s="17">
        <v>45</v>
      </c>
      <c r="U208" s="18">
        <v>0.2</v>
      </c>
    </row>
    <row r="209" spans="19:21">
      <c r="S209" s="16">
        <v>40</v>
      </c>
      <c r="T209" s="17">
        <v>47</v>
      </c>
      <c r="U209" s="18">
        <v>0.2</v>
      </c>
    </row>
    <row r="210" spans="19:21">
      <c r="S210" s="16">
        <v>40</v>
      </c>
      <c r="T210" s="17">
        <v>51</v>
      </c>
      <c r="U210" s="18">
        <v>0.2</v>
      </c>
    </row>
    <row r="211" spans="19:21">
      <c r="S211" s="16">
        <v>40</v>
      </c>
      <c r="T211" s="17">
        <v>52</v>
      </c>
      <c r="U211" s="18">
        <v>0.2</v>
      </c>
    </row>
    <row r="212" spans="19:21">
      <c r="S212" s="16">
        <v>41</v>
      </c>
      <c r="T212" s="17">
        <v>36</v>
      </c>
      <c r="U212" s="18">
        <v>0.33333333333333331</v>
      </c>
    </row>
    <row r="213" spans="19:21">
      <c r="S213" s="16">
        <v>41</v>
      </c>
      <c r="T213" s="17">
        <v>45</v>
      </c>
      <c r="U213" s="18">
        <v>0.33333333333333331</v>
      </c>
    </row>
    <row r="214" spans="19:21">
      <c r="S214" s="16">
        <v>41</v>
      </c>
      <c r="T214" s="17">
        <v>50</v>
      </c>
      <c r="U214" s="18">
        <v>0.33333333333333331</v>
      </c>
    </row>
    <row r="215" spans="19:21">
      <c r="S215" s="16">
        <v>42</v>
      </c>
      <c r="T215" s="17">
        <v>40</v>
      </c>
      <c r="U215" s="18">
        <v>0.33333333333333331</v>
      </c>
    </row>
    <row r="216" spans="19:21">
      <c r="S216" s="16">
        <v>42</v>
      </c>
      <c r="T216" s="17">
        <v>45</v>
      </c>
      <c r="U216" s="18">
        <v>0.33333333333333331</v>
      </c>
    </row>
    <row r="217" spans="19:21">
      <c r="S217" s="16">
        <v>42</v>
      </c>
      <c r="T217" s="17">
        <v>52</v>
      </c>
      <c r="U217" s="18">
        <v>0.33333333333333331</v>
      </c>
    </row>
    <row r="218" spans="19:21">
      <c r="S218" s="16">
        <v>43</v>
      </c>
      <c r="T218" s="17">
        <v>36</v>
      </c>
      <c r="U218" s="18">
        <v>0.33333333333333331</v>
      </c>
    </row>
    <row r="219" spans="19:21">
      <c r="S219" s="16">
        <v>43</v>
      </c>
      <c r="T219" s="17">
        <v>37</v>
      </c>
      <c r="U219" s="18">
        <v>0.33333333333333331</v>
      </c>
    </row>
    <row r="220" spans="19:21">
      <c r="S220" s="16">
        <v>43</v>
      </c>
      <c r="T220" s="17">
        <v>50</v>
      </c>
      <c r="U220" s="18">
        <v>0.33333333333333331</v>
      </c>
    </row>
    <row r="221" spans="19:21">
      <c r="S221" s="16">
        <v>44</v>
      </c>
      <c r="T221" s="17">
        <v>37</v>
      </c>
      <c r="U221" s="18">
        <v>0.33333333333333331</v>
      </c>
    </row>
    <row r="222" spans="19:21">
      <c r="S222" s="16">
        <v>44</v>
      </c>
      <c r="T222" s="17">
        <v>53</v>
      </c>
      <c r="U222" s="18">
        <v>0.33333333333333331</v>
      </c>
    </row>
    <row r="223" spans="19:21">
      <c r="S223" s="16">
        <v>44</v>
      </c>
      <c r="T223" s="17">
        <v>102</v>
      </c>
      <c r="U223" s="18">
        <v>0.33333333333333331</v>
      </c>
    </row>
    <row r="224" spans="19:21">
      <c r="S224" s="16">
        <v>45</v>
      </c>
      <c r="T224" s="17">
        <v>36</v>
      </c>
      <c r="U224" s="18">
        <v>0.16666666666666666</v>
      </c>
    </row>
    <row r="225" spans="19:21">
      <c r="S225" s="16">
        <v>45</v>
      </c>
      <c r="T225" s="17">
        <v>40</v>
      </c>
      <c r="U225" s="18">
        <v>0.16666666666666666</v>
      </c>
    </row>
    <row r="226" spans="19:21">
      <c r="S226" s="16">
        <v>45</v>
      </c>
      <c r="T226" s="17">
        <v>41</v>
      </c>
      <c r="U226" s="18">
        <v>0.16666666666666666</v>
      </c>
    </row>
    <row r="227" spans="19:21">
      <c r="S227" s="16">
        <v>45</v>
      </c>
      <c r="T227" s="17">
        <v>42</v>
      </c>
      <c r="U227" s="18">
        <v>0.16666666666666666</v>
      </c>
    </row>
    <row r="228" spans="19:21">
      <c r="S228" s="16">
        <v>45</v>
      </c>
      <c r="T228" s="17">
        <v>47</v>
      </c>
      <c r="U228" s="18">
        <v>0.16666666666666666</v>
      </c>
    </row>
    <row r="229" spans="19:21">
      <c r="S229" s="16">
        <v>45</v>
      </c>
      <c r="T229" s="17">
        <v>52</v>
      </c>
      <c r="U229" s="18">
        <v>0.16666666666666666</v>
      </c>
    </row>
    <row r="230" spans="19:21">
      <c r="S230" s="16">
        <v>46</v>
      </c>
      <c r="T230" s="17">
        <v>36</v>
      </c>
      <c r="U230" s="18">
        <v>0.16666666666666666</v>
      </c>
    </row>
    <row r="231" spans="19:21">
      <c r="S231" s="16">
        <v>46</v>
      </c>
      <c r="T231" s="17">
        <v>39</v>
      </c>
      <c r="U231" s="18">
        <v>0.16666666666666666</v>
      </c>
    </row>
    <row r="232" spans="19:21">
      <c r="S232" s="16">
        <v>46</v>
      </c>
      <c r="T232" s="17">
        <v>47</v>
      </c>
      <c r="U232" s="18">
        <v>0.16666666666666666</v>
      </c>
    </row>
    <row r="233" spans="19:21">
      <c r="S233" s="16">
        <v>46</v>
      </c>
      <c r="T233" s="17">
        <v>49</v>
      </c>
      <c r="U233" s="18">
        <v>0.16666666666666666</v>
      </c>
    </row>
    <row r="234" spans="19:21">
      <c r="S234" s="16">
        <v>46</v>
      </c>
      <c r="T234" s="17">
        <v>51</v>
      </c>
      <c r="U234" s="18">
        <v>0.16666666666666666</v>
      </c>
    </row>
    <row r="235" spans="19:21">
      <c r="S235" s="16">
        <v>46</v>
      </c>
      <c r="T235" s="17">
        <v>53</v>
      </c>
      <c r="U235" s="18">
        <v>0.16666666666666666</v>
      </c>
    </row>
    <row r="236" spans="19:21">
      <c r="S236" s="16">
        <v>47</v>
      </c>
      <c r="T236" s="17">
        <v>36</v>
      </c>
      <c r="U236" s="18">
        <v>0.2</v>
      </c>
    </row>
    <row r="237" spans="19:21">
      <c r="S237" s="16">
        <v>47</v>
      </c>
      <c r="T237" s="17">
        <v>40</v>
      </c>
      <c r="U237" s="18">
        <v>0.2</v>
      </c>
    </row>
    <row r="238" spans="19:21">
      <c r="S238" s="16">
        <v>47</v>
      </c>
      <c r="T238" s="17">
        <v>45</v>
      </c>
      <c r="U238" s="18">
        <v>0.2</v>
      </c>
    </row>
    <row r="239" spans="19:21">
      <c r="S239" s="16">
        <v>47</v>
      </c>
      <c r="T239" s="17">
        <v>46</v>
      </c>
      <c r="U239" s="18">
        <v>0.2</v>
      </c>
    </row>
    <row r="240" spans="19:21">
      <c r="S240" s="16">
        <v>47</v>
      </c>
      <c r="T240" s="17">
        <v>51</v>
      </c>
      <c r="U240" s="18">
        <v>0.2</v>
      </c>
    </row>
    <row r="241" spans="19:21">
      <c r="S241" s="16">
        <v>48</v>
      </c>
      <c r="T241" s="17">
        <v>39</v>
      </c>
      <c r="U241" s="18">
        <v>0.2</v>
      </c>
    </row>
    <row r="242" spans="19:21">
      <c r="S242" s="16">
        <v>48</v>
      </c>
      <c r="T242" s="17">
        <v>49</v>
      </c>
      <c r="U242" s="18">
        <v>0.2</v>
      </c>
    </row>
    <row r="243" spans="19:21">
      <c r="S243" s="16">
        <v>48</v>
      </c>
      <c r="T243" s="17">
        <v>98</v>
      </c>
      <c r="U243" s="18">
        <v>0.2</v>
      </c>
    </row>
    <row r="244" spans="19:21">
      <c r="S244" s="16">
        <v>48</v>
      </c>
      <c r="T244" s="17">
        <v>103</v>
      </c>
      <c r="U244" s="18">
        <v>0.2</v>
      </c>
    </row>
    <row r="245" spans="19:21">
      <c r="S245" s="16">
        <v>48</v>
      </c>
      <c r="T245" s="17">
        <v>105</v>
      </c>
      <c r="U245" s="18">
        <v>0.2</v>
      </c>
    </row>
    <row r="246" spans="19:21">
      <c r="S246" s="16">
        <v>49</v>
      </c>
      <c r="T246" s="17">
        <v>39</v>
      </c>
      <c r="U246" s="18">
        <v>0.2</v>
      </c>
    </row>
    <row r="247" spans="19:21">
      <c r="S247" s="16">
        <v>49</v>
      </c>
      <c r="T247" s="17">
        <v>46</v>
      </c>
      <c r="U247" s="18">
        <v>0.2</v>
      </c>
    </row>
    <row r="248" spans="19:21">
      <c r="S248" s="16">
        <v>49</v>
      </c>
      <c r="T248" s="17">
        <v>48</v>
      </c>
      <c r="U248" s="18">
        <v>0.2</v>
      </c>
    </row>
    <row r="249" spans="19:21">
      <c r="S249" s="16">
        <v>49</v>
      </c>
      <c r="T249" s="17">
        <v>53</v>
      </c>
      <c r="U249" s="18">
        <v>0.2</v>
      </c>
    </row>
    <row r="250" spans="19:21">
      <c r="S250" s="16">
        <v>49</v>
      </c>
      <c r="T250" s="17">
        <v>103</v>
      </c>
      <c r="U250" s="18">
        <v>0.2</v>
      </c>
    </row>
    <row r="251" spans="19:21">
      <c r="S251" s="16">
        <v>50</v>
      </c>
      <c r="T251" s="17">
        <v>36</v>
      </c>
      <c r="U251" s="18">
        <v>0.33333333333333331</v>
      </c>
    </row>
    <row r="252" spans="19:21">
      <c r="S252" s="16">
        <v>50</v>
      </c>
      <c r="T252" s="17">
        <v>41</v>
      </c>
      <c r="U252" s="18">
        <v>0.33333333333333331</v>
      </c>
    </row>
    <row r="253" spans="19:21">
      <c r="S253" s="16">
        <v>50</v>
      </c>
      <c r="T253" s="17">
        <v>43</v>
      </c>
      <c r="U253" s="18">
        <v>0.33333333333333331</v>
      </c>
    </row>
    <row r="254" spans="19:21">
      <c r="S254" s="16">
        <v>51</v>
      </c>
      <c r="T254" s="17">
        <v>39</v>
      </c>
      <c r="U254" s="18">
        <v>0.25</v>
      </c>
    </row>
    <row r="255" spans="19:21">
      <c r="S255" s="16">
        <v>51</v>
      </c>
      <c r="T255" s="17">
        <v>40</v>
      </c>
      <c r="U255" s="18">
        <v>0.25</v>
      </c>
    </row>
    <row r="256" spans="19:21">
      <c r="S256" s="16">
        <v>51</v>
      </c>
      <c r="T256" s="17">
        <v>46</v>
      </c>
      <c r="U256" s="18">
        <v>0.25</v>
      </c>
    </row>
    <row r="257" spans="19:21">
      <c r="S257" s="16">
        <v>51</v>
      </c>
      <c r="T257" s="17">
        <v>47</v>
      </c>
      <c r="U257" s="18">
        <v>0.25</v>
      </c>
    </row>
    <row r="258" spans="19:21">
      <c r="S258" s="16">
        <v>52</v>
      </c>
      <c r="T258" s="17">
        <v>38</v>
      </c>
      <c r="U258" s="18">
        <v>0.25</v>
      </c>
    </row>
    <row r="259" spans="19:21">
      <c r="S259" s="16">
        <v>52</v>
      </c>
      <c r="T259" s="17">
        <v>40</v>
      </c>
      <c r="U259" s="18">
        <v>0.25</v>
      </c>
    </row>
    <row r="260" spans="19:21">
      <c r="S260" s="16">
        <v>52</v>
      </c>
      <c r="T260" s="17">
        <v>42</v>
      </c>
      <c r="U260" s="18">
        <v>0.25</v>
      </c>
    </row>
    <row r="261" spans="19:21">
      <c r="S261" s="16">
        <v>52</v>
      </c>
      <c r="T261" s="17">
        <v>45</v>
      </c>
      <c r="U261" s="18">
        <v>0.25</v>
      </c>
    </row>
    <row r="262" spans="19:21">
      <c r="S262" s="16">
        <v>53</v>
      </c>
      <c r="T262" s="17">
        <v>36</v>
      </c>
      <c r="U262" s="18">
        <v>0.125</v>
      </c>
    </row>
    <row r="263" spans="19:21">
      <c r="S263" s="16">
        <v>53</v>
      </c>
      <c r="T263" s="17">
        <v>37</v>
      </c>
      <c r="U263" s="18">
        <v>0.125</v>
      </c>
    </row>
    <row r="264" spans="19:21">
      <c r="S264" s="16">
        <v>53</v>
      </c>
      <c r="T264" s="17">
        <v>44</v>
      </c>
      <c r="U264" s="18">
        <v>0.125</v>
      </c>
    </row>
    <row r="265" spans="19:21">
      <c r="S265" s="16">
        <v>53</v>
      </c>
      <c r="T265" s="17">
        <v>46</v>
      </c>
      <c r="U265" s="18">
        <v>0.125</v>
      </c>
    </row>
    <row r="266" spans="19:21">
      <c r="S266" s="16">
        <v>53</v>
      </c>
      <c r="T266" s="17">
        <v>49</v>
      </c>
      <c r="U266" s="18">
        <v>0.125</v>
      </c>
    </row>
    <row r="267" spans="19:21">
      <c r="S267" s="16">
        <v>53</v>
      </c>
      <c r="T267" s="17">
        <v>95</v>
      </c>
      <c r="U267" s="18">
        <v>0.125</v>
      </c>
    </row>
    <row r="268" spans="19:21">
      <c r="S268" s="16">
        <v>53</v>
      </c>
      <c r="T268" s="17">
        <v>102</v>
      </c>
      <c r="U268" s="18">
        <v>0.125</v>
      </c>
    </row>
    <row r="269" spans="19:21">
      <c r="S269" s="16">
        <v>53</v>
      </c>
      <c r="T269" s="17">
        <v>103</v>
      </c>
      <c r="U269" s="18">
        <v>0.125</v>
      </c>
    </row>
    <row r="270" spans="19:21">
      <c r="S270" s="16">
        <v>54</v>
      </c>
      <c r="T270" s="17">
        <v>55</v>
      </c>
      <c r="U270" s="18">
        <v>0.25</v>
      </c>
    </row>
    <row r="271" spans="19:21">
      <c r="S271" s="16">
        <v>54</v>
      </c>
      <c r="T271" s="17">
        <v>57</v>
      </c>
      <c r="U271" s="18">
        <v>0.25</v>
      </c>
    </row>
    <row r="272" spans="19:21">
      <c r="S272" s="16">
        <v>54</v>
      </c>
      <c r="T272" s="17">
        <v>58</v>
      </c>
      <c r="U272" s="18">
        <v>0.25</v>
      </c>
    </row>
    <row r="273" spans="19:21">
      <c r="S273" s="16">
        <v>54</v>
      </c>
      <c r="T273" s="17">
        <v>59</v>
      </c>
      <c r="U273" s="18">
        <v>0.25</v>
      </c>
    </row>
    <row r="274" spans="19:21">
      <c r="S274" s="16">
        <v>55</v>
      </c>
      <c r="T274" s="17">
        <v>54</v>
      </c>
      <c r="U274" s="18">
        <v>0.2</v>
      </c>
    </row>
    <row r="275" spans="19:21">
      <c r="S275" s="16">
        <v>55</v>
      </c>
      <c r="T275" s="17">
        <v>56</v>
      </c>
      <c r="U275" s="18">
        <v>0.2</v>
      </c>
    </row>
    <row r="276" spans="19:21">
      <c r="S276" s="16">
        <v>55</v>
      </c>
      <c r="T276" s="17">
        <v>57</v>
      </c>
      <c r="U276" s="18">
        <v>0.2</v>
      </c>
    </row>
    <row r="277" spans="19:21">
      <c r="S277" s="16">
        <v>55</v>
      </c>
      <c r="T277" s="17">
        <v>59</v>
      </c>
      <c r="U277" s="18">
        <v>0.2</v>
      </c>
    </row>
    <row r="278" spans="19:21">
      <c r="S278" s="16">
        <v>55</v>
      </c>
      <c r="T278" s="17">
        <v>67</v>
      </c>
      <c r="U278" s="18">
        <v>0.2</v>
      </c>
    </row>
    <row r="279" spans="19:21">
      <c r="S279" s="16">
        <v>56</v>
      </c>
      <c r="T279" s="17">
        <v>55</v>
      </c>
      <c r="U279" s="18">
        <v>0.5</v>
      </c>
    </row>
    <row r="280" spans="19:21">
      <c r="S280" s="16">
        <v>56</v>
      </c>
      <c r="T280" s="17">
        <v>59</v>
      </c>
      <c r="U280" s="18">
        <v>0.5</v>
      </c>
    </row>
    <row r="281" spans="19:21">
      <c r="S281" s="16">
        <v>57</v>
      </c>
      <c r="T281" s="17">
        <v>33</v>
      </c>
      <c r="U281" s="18">
        <v>0.14285714285714285</v>
      </c>
    </row>
    <row r="282" spans="19:21">
      <c r="S282" s="16">
        <v>57</v>
      </c>
      <c r="T282" s="17">
        <v>54</v>
      </c>
      <c r="U282" s="18">
        <v>0.14285714285714285</v>
      </c>
    </row>
    <row r="283" spans="19:21">
      <c r="S283" s="16">
        <v>57</v>
      </c>
      <c r="T283" s="17">
        <v>55</v>
      </c>
      <c r="U283" s="18">
        <v>0.14285714285714285</v>
      </c>
    </row>
    <row r="284" spans="19:21">
      <c r="S284" s="16">
        <v>57</v>
      </c>
      <c r="T284" s="17">
        <v>59</v>
      </c>
      <c r="U284" s="18">
        <v>0.14285714285714285</v>
      </c>
    </row>
    <row r="285" spans="19:21">
      <c r="S285" s="16">
        <v>57</v>
      </c>
      <c r="T285" s="17">
        <v>65</v>
      </c>
      <c r="U285" s="18">
        <v>0.14285714285714285</v>
      </c>
    </row>
    <row r="286" spans="19:21">
      <c r="S286" s="16">
        <v>57</v>
      </c>
      <c r="T286" s="17">
        <v>66</v>
      </c>
      <c r="U286" s="18">
        <v>0.14285714285714285</v>
      </c>
    </row>
    <row r="287" spans="19:21">
      <c r="S287" s="16">
        <v>57</v>
      </c>
      <c r="T287" s="17">
        <v>67</v>
      </c>
      <c r="U287" s="18">
        <v>0.14285714285714285</v>
      </c>
    </row>
    <row r="288" spans="19:21">
      <c r="S288" s="16">
        <v>58</v>
      </c>
      <c r="T288" s="17">
        <v>54</v>
      </c>
      <c r="U288" s="18">
        <v>0.5</v>
      </c>
    </row>
    <row r="289" spans="19:21">
      <c r="S289" s="16">
        <v>58</v>
      </c>
      <c r="T289" s="17">
        <v>59</v>
      </c>
      <c r="U289" s="18">
        <v>0.5</v>
      </c>
    </row>
    <row r="290" spans="19:21">
      <c r="S290" s="16">
        <v>59</v>
      </c>
      <c r="T290" s="17">
        <v>33</v>
      </c>
      <c r="U290" s="18">
        <v>0.125</v>
      </c>
    </row>
    <row r="291" spans="19:21">
      <c r="S291" s="16">
        <v>59</v>
      </c>
      <c r="T291" s="17">
        <v>54</v>
      </c>
      <c r="U291" s="18">
        <v>0.125</v>
      </c>
    </row>
    <row r="292" spans="19:21">
      <c r="S292" s="16">
        <v>59</v>
      </c>
      <c r="T292" s="17">
        <v>55</v>
      </c>
      <c r="U292" s="18">
        <v>0.125</v>
      </c>
    </row>
    <row r="293" spans="19:21">
      <c r="S293" s="16">
        <v>59</v>
      </c>
      <c r="T293" s="17">
        <v>56</v>
      </c>
      <c r="U293" s="18">
        <v>0.125</v>
      </c>
    </row>
    <row r="294" spans="19:21">
      <c r="S294" s="16">
        <v>59</v>
      </c>
      <c r="T294" s="17">
        <v>57</v>
      </c>
      <c r="U294" s="18">
        <v>0.125</v>
      </c>
    </row>
    <row r="295" spans="19:21">
      <c r="S295" s="16">
        <v>59</v>
      </c>
      <c r="T295" s="17">
        <v>58</v>
      </c>
      <c r="U295" s="18">
        <v>0.125</v>
      </c>
    </row>
    <row r="296" spans="19:21">
      <c r="S296" s="16">
        <v>59</v>
      </c>
      <c r="T296" s="17">
        <v>62</v>
      </c>
      <c r="U296" s="18">
        <v>0.125</v>
      </c>
    </row>
    <row r="297" spans="19:21">
      <c r="S297" s="16">
        <v>59</v>
      </c>
      <c r="T297" s="17">
        <v>101</v>
      </c>
      <c r="U297" s="18">
        <v>0.125</v>
      </c>
    </row>
    <row r="298" spans="19:21">
      <c r="S298" s="16">
        <v>60</v>
      </c>
      <c r="T298" s="17">
        <v>61</v>
      </c>
      <c r="U298" s="18">
        <v>0.5</v>
      </c>
    </row>
    <row r="299" spans="19:21">
      <c r="S299" s="16">
        <v>60</v>
      </c>
      <c r="T299" s="17">
        <v>63</v>
      </c>
      <c r="U299" s="18">
        <v>0.5</v>
      </c>
    </row>
    <row r="300" spans="19:21">
      <c r="S300" s="16">
        <v>61</v>
      </c>
      <c r="T300" s="17">
        <v>60</v>
      </c>
      <c r="U300" s="18">
        <v>0.2</v>
      </c>
    </row>
    <row r="301" spans="19:21">
      <c r="S301" s="16">
        <v>61</v>
      </c>
      <c r="T301" s="17">
        <v>62</v>
      </c>
      <c r="U301" s="18">
        <v>0.2</v>
      </c>
    </row>
    <row r="302" spans="19:21">
      <c r="S302" s="16">
        <v>61</v>
      </c>
      <c r="T302" s="17">
        <v>63</v>
      </c>
      <c r="U302" s="18">
        <v>0.2</v>
      </c>
    </row>
    <row r="303" spans="19:21">
      <c r="S303" s="16">
        <v>61</v>
      </c>
      <c r="T303" s="17">
        <v>95</v>
      </c>
      <c r="U303" s="18">
        <v>0.2</v>
      </c>
    </row>
    <row r="304" spans="19:21">
      <c r="S304" s="16">
        <v>61</v>
      </c>
      <c r="T304" s="17">
        <v>97</v>
      </c>
      <c r="U304" s="18">
        <v>0.2</v>
      </c>
    </row>
    <row r="305" spans="19:21">
      <c r="S305" s="16">
        <v>62</v>
      </c>
      <c r="T305" s="17">
        <v>59</v>
      </c>
      <c r="U305" s="18">
        <v>0.2</v>
      </c>
    </row>
    <row r="306" spans="19:21">
      <c r="S306" s="16">
        <v>62</v>
      </c>
      <c r="T306" s="17">
        <v>61</v>
      </c>
      <c r="U306" s="18">
        <v>0.2</v>
      </c>
    </row>
    <row r="307" spans="19:21">
      <c r="S307" s="16">
        <v>62</v>
      </c>
      <c r="T307" s="17">
        <v>63</v>
      </c>
      <c r="U307" s="18">
        <v>0.2</v>
      </c>
    </row>
    <row r="308" spans="19:21">
      <c r="S308" s="16">
        <v>62</v>
      </c>
      <c r="T308" s="17">
        <v>95</v>
      </c>
      <c r="U308" s="18">
        <v>0.2</v>
      </c>
    </row>
    <row r="309" spans="19:21">
      <c r="S309" s="16">
        <v>62</v>
      </c>
      <c r="T309" s="17">
        <v>101</v>
      </c>
      <c r="U309" s="18">
        <v>0.2</v>
      </c>
    </row>
    <row r="310" spans="19:21">
      <c r="S310" s="16">
        <v>63</v>
      </c>
      <c r="T310" s="17">
        <v>60</v>
      </c>
      <c r="U310" s="18">
        <v>0.33333333333333331</v>
      </c>
    </row>
    <row r="311" spans="19:21">
      <c r="S311" s="16">
        <v>63</v>
      </c>
      <c r="T311" s="17">
        <v>61</v>
      </c>
      <c r="U311" s="18">
        <v>0.33333333333333331</v>
      </c>
    </row>
    <row r="312" spans="19:21">
      <c r="S312" s="16">
        <v>63</v>
      </c>
      <c r="T312" s="17">
        <v>62</v>
      </c>
      <c r="U312" s="18">
        <v>0.33333333333333331</v>
      </c>
    </row>
    <row r="313" spans="19:21">
      <c r="S313" s="16">
        <v>64</v>
      </c>
      <c r="T313" s="17">
        <v>66</v>
      </c>
      <c r="U313" s="18">
        <v>0.25</v>
      </c>
    </row>
    <row r="314" spans="19:21">
      <c r="S314" s="16">
        <v>64</v>
      </c>
      <c r="T314" s="17">
        <v>67</v>
      </c>
      <c r="U314" s="18">
        <v>0.25</v>
      </c>
    </row>
    <row r="315" spans="19:21">
      <c r="S315" s="16">
        <v>64</v>
      </c>
      <c r="T315" s="17">
        <v>69</v>
      </c>
      <c r="U315" s="18">
        <v>0.25</v>
      </c>
    </row>
    <row r="316" spans="19:21">
      <c r="S316" s="16">
        <v>64</v>
      </c>
      <c r="T316" s="17">
        <v>83</v>
      </c>
      <c r="U316" s="18">
        <v>0.25</v>
      </c>
    </row>
    <row r="317" spans="19:21">
      <c r="S317" s="16">
        <v>65</v>
      </c>
      <c r="T317" s="17">
        <v>30</v>
      </c>
      <c r="U317" s="18">
        <v>0.2</v>
      </c>
    </row>
    <row r="318" spans="19:21">
      <c r="S318" s="16">
        <v>65</v>
      </c>
      <c r="T318" s="17">
        <v>33</v>
      </c>
      <c r="U318" s="18">
        <v>0.2</v>
      </c>
    </row>
    <row r="319" spans="19:21">
      <c r="S319" s="16">
        <v>65</v>
      </c>
      <c r="T319" s="17">
        <v>35</v>
      </c>
      <c r="U319" s="18">
        <v>0.2</v>
      </c>
    </row>
    <row r="320" spans="19:21">
      <c r="S320" s="16">
        <v>65</v>
      </c>
      <c r="T320" s="17">
        <v>57</v>
      </c>
      <c r="U320" s="18">
        <v>0.2</v>
      </c>
    </row>
    <row r="321" spans="19:21">
      <c r="S321" s="16">
        <v>65</v>
      </c>
      <c r="T321" s="17">
        <v>66</v>
      </c>
      <c r="U321" s="18">
        <v>0.2</v>
      </c>
    </row>
    <row r="322" spans="19:21">
      <c r="S322" s="16">
        <v>66</v>
      </c>
      <c r="T322" s="17">
        <v>35</v>
      </c>
      <c r="U322" s="18">
        <v>0.14285714285714285</v>
      </c>
    </row>
    <row r="323" spans="19:21">
      <c r="S323" s="16">
        <v>66</v>
      </c>
      <c r="T323" s="17">
        <v>57</v>
      </c>
      <c r="U323" s="18">
        <v>0.14285714285714285</v>
      </c>
    </row>
    <row r="324" spans="19:21">
      <c r="S324" s="16">
        <v>66</v>
      </c>
      <c r="T324" s="17">
        <v>64</v>
      </c>
      <c r="U324" s="18">
        <v>0.14285714285714285</v>
      </c>
    </row>
    <row r="325" spans="19:21">
      <c r="S325" s="16">
        <v>66</v>
      </c>
      <c r="T325" s="17">
        <v>65</v>
      </c>
      <c r="U325" s="18">
        <v>0.14285714285714285</v>
      </c>
    </row>
    <row r="326" spans="19:21">
      <c r="S326" s="16">
        <v>66</v>
      </c>
      <c r="T326" s="17">
        <v>67</v>
      </c>
      <c r="U326" s="18">
        <v>0.14285714285714285</v>
      </c>
    </row>
    <row r="327" spans="19:21">
      <c r="S327" s="16">
        <v>66</v>
      </c>
      <c r="T327" s="17">
        <v>68</v>
      </c>
      <c r="U327" s="18">
        <v>0.14285714285714285</v>
      </c>
    </row>
    <row r="328" spans="19:21">
      <c r="S328" s="16">
        <v>66</v>
      </c>
      <c r="T328" s="17">
        <v>69</v>
      </c>
      <c r="U328" s="18">
        <v>0.14285714285714285</v>
      </c>
    </row>
    <row r="329" spans="19:21">
      <c r="S329" s="16">
        <v>67</v>
      </c>
      <c r="T329" s="17">
        <v>55</v>
      </c>
      <c r="U329" s="18">
        <v>0.16666666666666666</v>
      </c>
    </row>
    <row r="330" spans="19:21">
      <c r="S330" s="16">
        <v>67</v>
      </c>
      <c r="T330" s="17">
        <v>57</v>
      </c>
      <c r="U330" s="18">
        <v>0.16666666666666666</v>
      </c>
    </row>
    <row r="331" spans="19:21">
      <c r="S331" s="16">
        <v>67</v>
      </c>
      <c r="T331" s="17">
        <v>64</v>
      </c>
      <c r="U331" s="18">
        <v>0.16666666666666666</v>
      </c>
    </row>
    <row r="332" spans="19:21">
      <c r="S332" s="16">
        <v>67</v>
      </c>
      <c r="T332" s="17">
        <v>66</v>
      </c>
      <c r="U332" s="18">
        <v>0.16666666666666666</v>
      </c>
    </row>
    <row r="333" spans="19:21">
      <c r="S333" s="16">
        <v>67</v>
      </c>
      <c r="T333" s="17">
        <v>83</v>
      </c>
      <c r="U333" s="18">
        <v>0.16666666666666666</v>
      </c>
    </row>
    <row r="334" spans="19:21">
      <c r="S334" s="16">
        <v>67</v>
      </c>
      <c r="T334" s="17">
        <v>85</v>
      </c>
      <c r="U334" s="18">
        <v>0.16666666666666666</v>
      </c>
    </row>
    <row r="335" spans="19:21">
      <c r="S335" s="16">
        <v>68</v>
      </c>
      <c r="T335" s="17">
        <v>11</v>
      </c>
      <c r="U335" s="18">
        <v>0.2</v>
      </c>
    </row>
    <row r="336" spans="19:21">
      <c r="S336" s="16">
        <v>68</v>
      </c>
      <c r="T336" s="17">
        <v>35</v>
      </c>
      <c r="U336" s="18">
        <v>0.2</v>
      </c>
    </row>
    <row r="337" spans="19:21">
      <c r="S337" s="16">
        <v>68</v>
      </c>
      <c r="T337" s="17">
        <v>66</v>
      </c>
      <c r="U337" s="18">
        <v>0.2</v>
      </c>
    </row>
    <row r="338" spans="19:21">
      <c r="S338" s="16">
        <v>68</v>
      </c>
      <c r="T338" s="17">
        <v>69</v>
      </c>
      <c r="U338" s="18">
        <v>0.2</v>
      </c>
    </row>
    <row r="339" spans="19:21">
      <c r="S339" s="16">
        <v>68</v>
      </c>
      <c r="T339" s="17">
        <v>83</v>
      </c>
      <c r="U339" s="18">
        <v>0.2</v>
      </c>
    </row>
    <row r="340" spans="19:21">
      <c r="S340" s="16">
        <v>69</v>
      </c>
      <c r="T340" s="17">
        <v>64</v>
      </c>
      <c r="U340" s="18">
        <v>0.25</v>
      </c>
    </row>
    <row r="341" spans="19:21">
      <c r="S341" s="16">
        <v>69</v>
      </c>
      <c r="T341" s="17">
        <v>66</v>
      </c>
      <c r="U341" s="18">
        <v>0.25</v>
      </c>
    </row>
    <row r="342" spans="19:21">
      <c r="S342" s="16">
        <v>69</v>
      </c>
      <c r="T342" s="17">
        <v>68</v>
      </c>
      <c r="U342" s="18">
        <v>0.25</v>
      </c>
    </row>
    <row r="343" spans="19:21">
      <c r="S343" s="16">
        <v>69</v>
      </c>
      <c r="T343" s="17">
        <v>83</v>
      </c>
      <c r="U343" s="18">
        <v>0.25</v>
      </c>
    </row>
    <row r="344" spans="19:21">
      <c r="S344" s="16">
        <v>70</v>
      </c>
      <c r="T344" s="17">
        <v>77</v>
      </c>
      <c r="U344" s="18">
        <v>1</v>
      </c>
    </row>
    <row r="345" spans="19:21">
      <c r="S345" s="16">
        <v>71</v>
      </c>
      <c r="T345" s="17">
        <v>15</v>
      </c>
      <c r="U345" s="18">
        <v>0.14285714285714285</v>
      </c>
    </row>
    <row r="346" spans="19:21">
      <c r="S346" s="16">
        <v>71</v>
      </c>
      <c r="T346" s="17">
        <v>20</v>
      </c>
      <c r="U346" s="18">
        <v>0.14285714285714285</v>
      </c>
    </row>
    <row r="347" spans="19:21">
      <c r="S347" s="16">
        <v>71</v>
      </c>
      <c r="T347" s="17">
        <v>24</v>
      </c>
      <c r="U347" s="18">
        <v>0.14285714285714285</v>
      </c>
    </row>
    <row r="348" spans="19:21">
      <c r="S348" s="16">
        <v>71</v>
      </c>
      <c r="T348" s="17">
        <v>31</v>
      </c>
      <c r="U348" s="18">
        <v>0.14285714285714285</v>
      </c>
    </row>
    <row r="349" spans="19:21">
      <c r="S349" s="16">
        <v>71</v>
      </c>
      <c r="T349" s="17">
        <v>32</v>
      </c>
      <c r="U349" s="18">
        <v>0.14285714285714285</v>
      </c>
    </row>
    <row r="350" spans="19:21">
      <c r="S350" s="16">
        <v>71</v>
      </c>
      <c r="T350" s="17">
        <v>72</v>
      </c>
      <c r="U350" s="18">
        <v>0.14285714285714285</v>
      </c>
    </row>
    <row r="351" spans="19:21">
      <c r="S351" s="16">
        <v>71</v>
      </c>
      <c r="T351" s="17">
        <v>73</v>
      </c>
      <c r="U351" s="18">
        <v>0.14285714285714285</v>
      </c>
    </row>
    <row r="352" spans="19:21">
      <c r="S352" s="16">
        <v>72</v>
      </c>
      <c r="T352" s="17">
        <v>17</v>
      </c>
      <c r="U352" s="18">
        <v>0.2</v>
      </c>
    </row>
    <row r="353" spans="19:21">
      <c r="S353" s="16">
        <v>72</v>
      </c>
      <c r="T353" s="17">
        <v>18</v>
      </c>
      <c r="U353" s="18">
        <v>0.2</v>
      </c>
    </row>
    <row r="354" spans="19:21">
      <c r="S354" s="16">
        <v>72</v>
      </c>
      <c r="T354" s="17">
        <v>71</v>
      </c>
      <c r="U354" s="18">
        <v>0.2</v>
      </c>
    </row>
    <row r="355" spans="19:21">
      <c r="S355" s="16">
        <v>72</v>
      </c>
      <c r="T355" s="17">
        <v>73</v>
      </c>
      <c r="U355" s="18">
        <v>0.2</v>
      </c>
    </row>
    <row r="356" spans="19:21">
      <c r="S356" s="16">
        <v>72</v>
      </c>
      <c r="T356" s="17">
        <v>74</v>
      </c>
      <c r="U356" s="18">
        <v>0.2</v>
      </c>
    </row>
    <row r="357" spans="19:21">
      <c r="S357" s="16">
        <v>73</v>
      </c>
      <c r="T357" s="17">
        <v>18</v>
      </c>
      <c r="U357" s="18">
        <v>0.25</v>
      </c>
    </row>
    <row r="358" spans="19:21">
      <c r="S358" s="16">
        <v>73</v>
      </c>
      <c r="T358" s="17">
        <v>20</v>
      </c>
      <c r="U358" s="18">
        <v>0.25</v>
      </c>
    </row>
    <row r="359" spans="19:21">
      <c r="S359" s="16">
        <v>73</v>
      </c>
      <c r="T359" s="17">
        <v>71</v>
      </c>
      <c r="U359" s="18">
        <v>0.25</v>
      </c>
    </row>
    <row r="360" spans="19:21">
      <c r="S360" s="16">
        <v>73</v>
      </c>
      <c r="T360" s="17">
        <v>72</v>
      </c>
      <c r="U360" s="18">
        <v>0.25</v>
      </c>
    </row>
    <row r="361" spans="19:21">
      <c r="S361" s="16">
        <v>74</v>
      </c>
      <c r="T361" s="17">
        <v>17</v>
      </c>
      <c r="U361" s="18">
        <v>0.2</v>
      </c>
    </row>
    <row r="362" spans="19:21">
      <c r="S362" s="16">
        <v>74</v>
      </c>
      <c r="T362" s="17">
        <v>28</v>
      </c>
      <c r="U362" s="18">
        <v>0.2</v>
      </c>
    </row>
    <row r="363" spans="19:21">
      <c r="S363" s="16">
        <v>74</v>
      </c>
      <c r="T363" s="17">
        <v>72</v>
      </c>
      <c r="U363" s="18">
        <v>0.2</v>
      </c>
    </row>
    <row r="364" spans="19:21">
      <c r="S364" s="16">
        <v>74</v>
      </c>
      <c r="T364" s="17">
        <v>75</v>
      </c>
      <c r="U364" s="18">
        <v>0.2</v>
      </c>
    </row>
    <row r="365" spans="19:21">
      <c r="S365" s="16">
        <v>74</v>
      </c>
      <c r="T365" s="17">
        <v>77</v>
      </c>
      <c r="U365" s="18">
        <v>0.2</v>
      </c>
    </row>
    <row r="366" spans="19:21">
      <c r="S366" s="16">
        <v>75</v>
      </c>
      <c r="T366" s="17">
        <v>28</v>
      </c>
      <c r="U366" s="18">
        <v>0.33333333333333331</v>
      </c>
    </row>
    <row r="367" spans="19:21">
      <c r="S367" s="16">
        <v>75</v>
      </c>
      <c r="T367" s="17">
        <v>74</v>
      </c>
      <c r="U367" s="18">
        <v>0.33333333333333331</v>
      </c>
    </row>
    <row r="368" spans="19:21">
      <c r="S368" s="16">
        <v>75</v>
      </c>
      <c r="T368" s="17">
        <v>77</v>
      </c>
      <c r="U368" s="18">
        <v>0.33333333333333331</v>
      </c>
    </row>
    <row r="369" spans="19:21">
      <c r="S369" s="16">
        <v>76</v>
      </c>
      <c r="T369" s="17">
        <v>77</v>
      </c>
      <c r="U369" s="18">
        <v>1</v>
      </c>
    </row>
    <row r="370" spans="19:21">
      <c r="S370" s="16">
        <v>77</v>
      </c>
      <c r="T370" s="17">
        <v>28</v>
      </c>
      <c r="U370" s="18">
        <v>0.2</v>
      </c>
    </row>
    <row r="371" spans="19:21">
      <c r="S371" s="16">
        <v>77</v>
      </c>
      <c r="T371" s="17">
        <v>70</v>
      </c>
      <c r="U371" s="18">
        <v>0.2</v>
      </c>
    </row>
    <row r="372" spans="19:21">
      <c r="S372" s="16">
        <v>77</v>
      </c>
      <c r="T372" s="17">
        <v>74</v>
      </c>
      <c r="U372" s="18">
        <v>0.2</v>
      </c>
    </row>
    <row r="373" spans="19:21">
      <c r="S373" s="16">
        <v>77</v>
      </c>
      <c r="T373" s="17">
        <v>75</v>
      </c>
      <c r="U373" s="18">
        <v>0.2</v>
      </c>
    </row>
    <row r="374" spans="19:21">
      <c r="S374" s="16">
        <v>77</v>
      </c>
      <c r="T374" s="17">
        <v>76</v>
      </c>
      <c r="U374" s="18">
        <v>0.2</v>
      </c>
    </row>
    <row r="375" spans="19:21">
      <c r="S375" s="16">
        <v>78</v>
      </c>
      <c r="T375" s="17">
        <v>81</v>
      </c>
      <c r="U375" s="18">
        <v>0.25</v>
      </c>
    </row>
    <row r="376" spans="19:21">
      <c r="S376" s="16">
        <v>78</v>
      </c>
      <c r="T376" s="17">
        <v>82</v>
      </c>
      <c r="U376" s="18">
        <v>0.25</v>
      </c>
    </row>
    <row r="377" spans="19:21">
      <c r="S377" s="16">
        <v>78</v>
      </c>
      <c r="T377" s="17">
        <v>84</v>
      </c>
      <c r="U377" s="18">
        <v>0.25</v>
      </c>
    </row>
    <row r="378" spans="19:21">
      <c r="S378" s="16">
        <v>78</v>
      </c>
      <c r="T378" s="17">
        <v>87</v>
      </c>
      <c r="U378" s="18">
        <v>0.25</v>
      </c>
    </row>
    <row r="379" spans="19:21">
      <c r="S379" s="16">
        <v>79</v>
      </c>
      <c r="T379" s="17">
        <v>80</v>
      </c>
      <c r="U379" s="18">
        <v>0.2</v>
      </c>
    </row>
    <row r="380" spans="19:21">
      <c r="S380" s="16">
        <v>79</v>
      </c>
      <c r="T380" s="17">
        <v>81</v>
      </c>
      <c r="U380" s="18">
        <v>0.2</v>
      </c>
    </row>
    <row r="381" spans="19:21">
      <c r="S381" s="16">
        <v>79</v>
      </c>
      <c r="T381" s="17">
        <v>84</v>
      </c>
      <c r="U381" s="18">
        <v>0.2</v>
      </c>
    </row>
    <row r="382" spans="19:21">
      <c r="S382" s="16">
        <v>79</v>
      </c>
      <c r="T382" s="17">
        <v>86</v>
      </c>
      <c r="U382" s="18">
        <v>0.2</v>
      </c>
    </row>
    <row r="383" spans="19:21">
      <c r="S383" s="16">
        <v>79</v>
      </c>
      <c r="T383" s="17">
        <v>92</v>
      </c>
      <c r="U383" s="18">
        <v>0.2</v>
      </c>
    </row>
    <row r="384" spans="19:21">
      <c r="S384" s="16">
        <v>80</v>
      </c>
      <c r="T384" s="17">
        <v>79</v>
      </c>
      <c r="U384" s="18">
        <v>0.25</v>
      </c>
    </row>
    <row r="385" spans="19:21">
      <c r="S385" s="16">
        <v>80</v>
      </c>
      <c r="T385" s="17">
        <v>85</v>
      </c>
      <c r="U385" s="18">
        <v>0.25</v>
      </c>
    </row>
    <row r="386" spans="19:21">
      <c r="S386" s="16">
        <v>80</v>
      </c>
      <c r="T386" s="17">
        <v>90</v>
      </c>
      <c r="U386" s="18">
        <v>0.25</v>
      </c>
    </row>
    <row r="387" spans="19:21">
      <c r="S387" s="16">
        <v>80</v>
      </c>
      <c r="T387" s="17">
        <v>92</v>
      </c>
      <c r="U387" s="18">
        <v>0.25</v>
      </c>
    </row>
    <row r="388" spans="19:21">
      <c r="S388" s="16">
        <v>81</v>
      </c>
      <c r="T388" s="17">
        <v>78</v>
      </c>
      <c r="U388" s="18">
        <v>0.14285714285714285</v>
      </c>
    </row>
    <row r="389" spans="19:21">
      <c r="S389" s="16">
        <v>81</v>
      </c>
      <c r="T389" s="17">
        <v>79</v>
      </c>
      <c r="U389" s="18">
        <v>0.14285714285714285</v>
      </c>
    </row>
    <row r="390" spans="19:21">
      <c r="S390" s="16">
        <v>81</v>
      </c>
      <c r="T390" s="17">
        <v>84</v>
      </c>
      <c r="U390" s="18">
        <v>0.14285714285714285</v>
      </c>
    </row>
    <row r="391" spans="19:21">
      <c r="S391" s="16">
        <v>81</v>
      </c>
      <c r="T391" s="17">
        <v>86</v>
      </c>
      <c r="U391" s="18">
        <v>0.14285714285714285</v>
      </c>
    </row>
    <row r="392" spans="19:21">
      <c r="S392" s="16">
        <v>81</v>
      </c>
      <c r="T392" s="17">
        <v>87</v>
      </c>
      <c r="U392" s="18">
        <v>0.14285714285714285</v>
      </c>
    </row>
    <row r="393" spans="19:21">
      <c r="S393" s="16">
        <v>81</v>
      </c>
      <c r="T393" s="17">
        <v>89</v>
      </c>
      <c r="U393" s="18">
        <v>0.14285714285714285</v>
      </c>
    </row>
    <row r="394" spans="19:21">
      <c r="S394" s="16">
        <v>81</v>
      </c>
      <c r="T394" s="17">
        <v>91</v>
      </c>
      <c r="U394" s="18">
        <v>0.14285714285714285</v>
      </c>
    </row>
    <row r="395" spans="19:21">
      <c r="S395" s="16">
        <v>82</v>
      </c>
      <c r="T395" s="17">
        <v>78</v>
      </c>
      <c r="U395" s="18">
        <v>0.25</v>
      </c>
    </row>
    <row r="396" spans="19:21">
      <c r="S396" s="16">
        <v>82</v>
      </c>
      <c r="T396" s="17">
        <v>84</v>
      </c>
      <c r="U396" s="18">
        <v>0.25</v>
      </c>
    </row>
    <row r="397" spans="19:21">
      <c r="S397" s="16">
        <v>82</v>
      </c>
      <c r="T397" s="17">
        <v>87</v>
      </c>
      <c r="U397" s="18">
        <v>0.25</v>
      </c>
    </row>
    <row r="398" spans="19:21">
      <c r="S398" s="16">
        <v>82</v>
      </c>
      <c r="T398" s="17">
        <v>88</v>
      </c>
      <c r="U398" s="18">
        <v>0.25</v>
      </c>
    </row>
    <row r="399" spans="19:21">
      <c r="S399" s="16">
        <v>83</v>
      </c>
      <c r="T399" s="17">
        <v>6</v>
      </c>
      <c r="U399" s="18">
        <v>0.125</v>
      </c>
    </row>
    <row r="400" spans="19:21">
      <c r="S400" s="16">
        <v>83</v>
      </c>
      <c r="T400" s="17">
        <v>9</v>
      </c>
      <c r="U400" s="18">
        <v>0.125</v>
      </c>
    </row>
    <row r="401" spans="19:21">
      <c r="S401" s="16">
        <v>83</v>
      </c>
      <c r="T401" s="17">
        <v>11</v>
      </c>
      <c r="U401" s="18">
        <v>0.125</v>
      </c>
    </row>
    <row r="402" spans="19:21">
      <c r="S402" s="16">
        <v>83</v>
      </c>
      <c r="T402" s="17">
        <v>64</v>
      </c>
      <c r="U402" s="18">
        <v>0.125</v>
      </c>
    </row>
    <row r="403" spans="19:21">
      <c r="S403" s="16">
        <v>83</v>
      </c>
      <c r="T403" s="17">
        <v>67</v>
      </c>
      <c r="U403" s="18">
        <v>0.125</v>
      </c>
    </row>
    <row r="404" spans="19:21">
      <c r="S404" s="16">
        <v>83</v>
      </c>
      <c r="T404" s="17">
        <v>68</v>
      </c>
      <c r="U404" s="18">
        <v>0.125</v>
      </c>
    </row>
    <row r="405" spans="19:21">
      <c r="S405" s="16">
        <v>83</v>
      </c>
      <c r="T405" s="17">
        <v>69</v>
      </c>
      <c r="U405" s="18">
        <v>0.125</v>
      </c>
    </row>
    <row r="406" spans="19:21">
      <c r="S406" s="16">
        <v>83</v>
      </c>
      <c r="T406" s="17">
        <v>85</v>
      </c>
      <c r="U406" s="18">
        <v>0.125</v>
      </c>
    </row>
    <row r="407" spans="19:21">
      <c r="S407" s="16">
        <v>84</v>
      </c>
      <c r="T407" s="17">
        <v>78</v>
      </c>
      <c r="U407" s="18">
        <v>0.1111111111111111</v>
      </c>
    </row>
    <row r="408" spans="19:21">
      <c r="S408" s="16">
        <v>84</v>
      </c>
      <c r="T408" s="17">
        <v>79</v>
      </c>
      <c r="U408" s="18">
        <v>0.1111111111111111</v>
      </c>
    </row>
    <row r="409" spans="19:21">
      <c r="S409" s="16">
        <v>84</v>
      </c>
      <c r="T409" s="17">
        <v>81</v>
      </c>
      <c r="U409" s="18">
        <v>0.1111111111111111</v>
      </c>
    </row>
    <row r="410" spans="19:21">
      <c r="S410" s="16">
        <v>84</v>
      </c>
      <c r="T410" s="17">
        <v>82</v>
      </c>
      <c r="U410" s="18">
        <v>0.1111111111111111</v>
      </c>
    </row>
    <row r="411" spans="19:21">
      <c r="S411" s="16">
        <v>84</v>
      </c>
      <c r="T411" s="17">
        <v>88</v>
      </c>
      <c r="U411" s="18">
        <v>0.1111111111111111</v>
      </c>
    </row>
    <row r="412" spans="19:21">
      <c r="S412" s="16">
        <v>84</v>
      </c>
      <c r="T412" s="17">
        <v>90</v>
      </c>
      <c r="U412" s="18">
        <v>0.1111111111111111</v>
      </c>
    </row>
    <row r="413" spans="19:21">
      <c r="S413" s="16">
        <v>84</v>
      </c>
      <c r="T413" s="17">
        <v>92</v>
      </c>
      <c r="U413" s="18">
        <v>0.1111111111111111</v>
      </c>
    </row>
    <row r="414" spans="19:21">
      <c r="S414" s="16">
        <v>84</v>
      </c>
      <c r="T414" s="17">
        <v>93</v>
      </c>
      <c r="U414" s="18">
        <v>0.1111111111111111</v>
      </c>
    </row>
    <row r="415" spans="19:21">
      <c r="S415" s="16">
        <v>84</v>
      </c>
      <c r="T415" s="17">
        <v>94</v>
      </c>
      <c r="U415" s="18">
        <v>0.1111111111111111</v>
      </c>
    </row>
    <row r="416" spans="19:21">
      <c r="S416" s="16">
        <v>85</v>
      </c>
      <c r="T416" s="17">
        <v>67</v>
      </c>
      <c r="U416" s="18">
        <v>0.16666666666666666</v>
      </c>
    </row>
    <row r="417" spans="19:21">
      <c r="S417" s="16">
        <v>85</v>
      </c>
      <c r="T417" s="17">
        <v>80</v>
      </c>
      <c r="U417" s="18">
        <v>0.16666666666666666</v>
      </c>
    </row>
    <row r="418" spans="19:21">
      <c r="S418" s="16">
        <v>85</v>
      </c>
      <c r="T418" s="17">
        <v>83</v>
      </c>
      <c r="U418" s="18">
        <v>0.16666666666666666</v>
      </c>
    </row>
    <row r="419" spans="19:21">
      <c r="S419" s="16">
        <v>85</v>
      </c>
      <c r="T419" s="17">
        <v>90</v>
      </c>
      <c r="U419" s="18">
        <v>0.16666666666666666</v>
      </c>
    </row>
    <row r="420" spans="19:21">
      <c r="S420" s="16">
        <v>85</v>
      </c>
      <c r="T420" s="17">
        <v>93</v>
      </c>
      <c r="U420" s="18">
        <v>0.16666666666666666</v>
      </c>
    </row>
    <row r="421" spans="19:21">
      <c r="S421" s="16">
        <v>85</v>
      </c>
      <c r="T421" s="17">
        <v>94</v>
      </c>
      <c r="U421" s="18">
        <v>0.16666666666666666</v>
      </c>
    </row>
    <row r="422" spans="19:21">
      <c r="S422" s="16">
        <v>86</v>
      </c>
      <c r="T422" s="17">
        <v>79</v>
      </c>
      <c r="U422" s="18">
        <v>0.33333333333333331</v>
      </c>
    </row>
    <row r="423" spans="19:21">
      <c r="S423" s="16">
        <v>86</v>
      </c>
      <c r="T423" s="17">
        <v>81</v>
      </c>
      <c r="U423" s="18">
        <v>0.33333333333333331</v>
      </c>
    </row>
    <row r="424" spans="19:21">
      <c r="S424" s="16">
        <v>86</v>
      </c>
      <c r="T424" s="17">
        <v>89</v>
      </c>
      <c r="U424" s="18">
        <v>0.33333333333333331</v>
      </c>
    </row>
    <row r="425" spans="19:21">
      <c r="S425" s="16">
        <v>87</v>
      </c>
      <c r="T425" s="17">
        <v>78</v>
      </c>
      <c r="U425" s="18">
        <v>0.33333333333333331</v>
      </c>
    </row>
    <row r="426" spans="19:21">
      <c r="S426" s="16">
        <v>87</v>
      </c>
      <c r="T426" s="17">
        <v>81</v>
      </c>
      <c r="U426" s="18">
        <v>0.33333333333333331</v>
      </c>
    </row>
    <row r="427" spans="19:21">
      <c r="S427" s="16">
        <v>87</v>
      </c>
      <c r="T427" s="17">
        <v>82</v>
      </c>
      <c r="U427" s="18">
        <v>0.33333333333333331</v>
      </c>
    </row>
    <row r="428" spans="19:21">
      <c r="S428" s="16">
        <v>88</v>
      </c>
      <c r="T428" s="17">
        <v>82</v>
      </c>
      <c r="U428" s="18">
        <v>0.5</v>
      </c>
    </row>
    <row r="429" spans="19:21">
      <c r="S429" s="16">
        <v>88</v>
      </c>
      <c r="T429" s="17">
        <v>84</v>
      </c>
      <c r="U429" s="18">
        <v>0.5</v>
      </c>
    </row>
    <row r="430" spans="19:21">
      <c r="S430" s="16">
        <v>89</v>
      </c>
      <c r="T430" s="17">
        <v>81</v>
      </c>
      <c r="U430" s="18">
        <v>0.33333333333333331</v>
      </c>
    </row>
    <row r="431" spans="19:21">
      <c r="S431" s="16">
        <v>89</v>
      </c>
      <c r="T431" s="17">
        <v>86</v>
      </c>
      <c r="U431" s="18">
        <v>0.33333333333333331</v>
      </c>
    </row>
    <row r="432" spans="19:21">
      <c r="S432" s="16">
        <v>89</v>
      </c>
      <c r="T432" s="17">
        <v>91</v>
      </c>
      <c r="U432" s="18">
        <v>0.33333333333333331</v>
      </c>
    </row>
    <row r="433" spans="19:21">
      <c r="S433" s="16">
        <v>90</v>
      </c>
      <c r="T433" s="17">
        <v>80</v>
      </c>
      <c r="U433" s="18">
        <v>0.2</v>
      </c>
    </row>
    <row r="434" spans="19:21">
      <c r="S434" s="16">
        <v>90</v>
      </c>
      <c r="T434" s="17">
        <v>84</v>
      </c>
      <c r="U434" s="18">
        <v>0.2</v>
      </c>
    </row>
    <row r="435" spans="19:21">
      <c r="S435" s="16">
        <v>90</v>
      </c>
      <c r="T435" s="17">
        <v>85</v>
      </c>
      <c r="U435" s="18">
        <v>0.2</v>
      </c>
    </row>
    <row r="436" spans="19:21">
      <c r="S436" s="16">
        <v>90</v>
      </c>
      <c r="T436" s="17">
        <v>92</v>
      </c>
      <c r="U436" s="18">
        <v>0.2</v>
      </c>
    </row>
    <row r="437" spans="19:21">
      <c r="S437" s="16">
        <v>90</v>
      </c>
      <c r="T437" s="17">
        <v>94</v>
      </c>
      <c r="U437" s="18">
        <v>0.2</v>
      </c>
    </row>
    <row r="438" spans="19:21">
      <c r="S438" s="16">
        <v>91</v>
      </c>
      <c r="T438" s="17">
        <v>81</v>
      </c>
      <c r="U438" s="18">
        <v>0.5</v>
      </c>
    </row>
    <row r="439" spans="19:21">
      <c r="S439" s="16">
        <v>91</v>
      </c>
      <c r="T439" s="17">
        <v>89</v>
      </c>
      <c r="U439" s="18">
        <v>0.5</v>
      </c>
    </row>
    <row r="440" spans="19:21">
      <c r="S440" s="16">
        <v>92</v>
      </c>
      <c r="T440" s="17">
        <v>79</v>
      </c>
      <c r="U440" s="18">
        <v>0.25</v>
      </c>
    </row>
    <row r="441" spans="19:21">
      <c r="S441" s="16">
        <v>92</v>
      </c>
      <c r="T441" s="17">
        <v>80</v>
      </c>
      <c r="U441" s="18">
        <v>0.25</v>
      </c>
    </row>
    <row r="442" spans="19:21">
      <c r="S442" s="16">
        <v>92</v>
      </c>
      <c r="T442" s="17">
        <v>84</v>
      </c>
      <c r="U442" s="18">
        <v>0.25</v>
      </c>
    </row>
    <row r="443" spans="19:21">
      <c r="S443" s="16">
        <v>92</v>
      </c>
      <c r="T443" s="17">
        <v>90</v>
      </c>
      <c r="U443" s="18">
        <v>0.25</v>
      </c>
    </row>
    <row r="444" spans="19:21">
      <c r="S444" s="16">
        <v>93</v>
      </c>
      <c r="T444" s="17">
        <v>84</v>
      </c>
      <c r="U444" s="18">
        <v>0.33333333333333331</v>
      </c>
    </row>
    <row r="445" spans="19:21">
      <c r="S445" s="16">
        <v>93</v>
      </c>
      <c r="T445" s="17">
        <v>85</v>
      </c>
      <c r="U445" s="18">
        <v>0.33333333333333331</v>
      </c>
    </row>
    <row r="446" spans="19:21">
      <c r="S446" s="16">
        <v>93</v>
      </c>
      <c r="T446" s="17">
        <v>94</v>
      </c>
      <c r="U446" s="18">
        <v>0.33333333333333331</v>
      </c>
    </row>
    <row r="447" spans="19:21">
      <c r="S447" s="16">
        <v>94</v>
      </c>
      <c r="T447" s="17">
        <v>84</v>
      </c>
      <c r="U447" s="18">
        <v>0.25</v>
      </c>
    </row>
    <row r="448" spans="19:21">
      <c r="S448" s="16">
        <v>94</v>
      </c>
      <c r="T448" s="17">
        <v>85</v>
      </c>
      <c r="U448" s="18">
        <v>0.25</v>
      </c>
    </row>
    <row r="449" spans="19:21">
      <c r="S449" s="16">
        <v>94</v>
      </c>
      <c r="T449" s="17">
        <v>90</v>
      </c>
      <c r="U449" s="18">
        <v>0.25</v>
      </c>
    </row>
    <row r="450" spans="19:21">
      <c r="S450" s="16">
        <v>94</v>
      </c>
      <c r="T450" s="17">
        <v>93</v>
      </c>
      <c r="U450" s="18">
        <v>0.25</v>
      </c>
    </row>
    <row r="451" spans="19:21">
      <c r="S451" s="16">
        <v>95</v>
      </c>
      <c r="T451" s="17">
        <v>53</v>
      </c>
      <c r="U451" s="18">
        <v>0.125</v>
      </c>
    </row>
    <row r="452" spans="19:21">
      <c r="S452" s="16">
        <v>95</v>
      </c>
      <c r="T452" s="17">
        <v>61</v>
      </c>
      <c r="U452" s="18">
        <v>0.125</v>
      </c>
    </row>
    <row r="453" spans="19:21">
      <c r="S453" s="16">
        <v>95</v>
      </c>
      <c r="T453" s="17">
        <v>62</v>
      </c>
      <c r="U453" s="18">
        <v>0.125</v>
      </c>
    </row>
    <row r="454" spans="19:21">
      <c r="S454" s="16">
        <v>95</v>
      </c>
      <c r="T454" s="17">
        <v>97</v>
      </c>
      <c r="U454" s="18">
        <v>0.125</v>
      </c>
    </row>
    <row r="455" spans="19:21">
      <c r="S455" s="16">
        <v>95</v>
      </c>
      <c r="T455" s="17">
        <v>100</v>
      </c>
      <c r="U455" s="18">
        <v>0.125</v>
      </c>
    </row>
    <row r="456" spans="19:21">
      <c r="S456" s="16">
        <v>95</v>
      </c>
      <c r="T456" s="17">
        <v>101</v>
      </c>
      <c r="U456" s="18">
        <v>0.125</v>
      </c>
    </row>
    <row r="457" spans="19:21">
      <c r="S457" s="16">
        <v>95</v>
      </c>
      <c r="T457" s="17">
        <v>102</v>
      </c>
      <c r="U457" s="18">
        <v>0.125</v>
      </c>
    </row>
    <row r="458" spans="19:21">
      <c r="S458" s="16">
        <v>95</v>
      </c>
      <c r="T458" s="17">
        <v>103</v>
      </c>
      <c r="U458" s="18">
        <v>0.125</v>
      </c>
    </row>
    <row r="459" spans="19:21">
      <c r="S459" s="16">
        <v>96</v>
      </c>
      <c r="T459" s="17">
        <v>98</v>
      </c>
      <c r="U459" s="18">
        <v>0.125</v>
      </c>
    </row>
    <row r="460" spans="19:21">
      <c r="S460" s="16">
        <v>96</v>
      </c>
      <c r="T460" s="17">
        <v>99</v>
      </c>
      <c r="U460" s="18">
        <v>0.125</v>
      </c>
    </row>
    <row r="461" spans="19:21">
      <c r="S461" s="16">
        <v>96</v>
      </c>
      <c r="T461" s="17">
        <v>101</v>
      </c>
      <c r="U461" s="18">
        <v>0.125</v>
      </c>
    </row>
    <row r="462" spans="19:21">
      <c r="S462" s="16">
        <v>96</v>
      </c>
      <c r="T462" s="17">
        <v>103</v>
      </c>
      <c r="U462" s="18">
        <v>0.125</v>
      </c>
    </row>
    <row r="463" spans="19:21">
      <c r="S463" s="16">
        <v>96</v>
      </c>
      <c r="T463" s="17">
        <v>104</v>
      </c>
      <c r="U463" s="18">
        <v>0.125</v>
      </c>
    </row>
    <row r="464" spans="19:21">
      <c r="S464" s="16">
        <v>96</v>
      </c>
      <c r="T464" s="17">
        <v>106</v>
      </c>
      <c r="U464" s="18">
        <v>0.125</v>
      </c>
    </row>
    <row r="465" spans="19:21">
      <c r="S465" s="16">
        <v>96</v>
      </c>
      <c r="T465" s="17">
        <v>107</v>
      </c>
      <c r="U465" s="18">
        <v>0.125</v>
      </c>
    </row>
    <row r="466" spans="19:21">
      <c r="S466" s="16">
        <v>96</v>
      </c>
      <c r="T466" s="17">
        <v>108</v>
      </c>
      <c r="U466" s="18">
        <v>0.125</v>
      </c>
    </row>
    <row r="467" spans="19:21">
      <c r="S467" s="16">
        <v>97</v>
      </c>
      <c r="T467" s="17">
        <v>61</v>
      </c>
      <c r="U467" s="18">
        <v>0.33333333333333331</v>
      </c>
    </row>
    <row r="468" spans="19:21">
      <c r="S468" s="16">
        <v>97</v>
      </c>
      <c r="T468" s="17">
        <v>95</v>
      </c>
      <c r="U468" s="18">
        <v>0.33333333333333331</v>
      </c>
    </row>
    <row r="469" spans="19:21">
      <c r="S469" s="16">
        <v>97</v>
      </c>
      <c r="T469" s="17">
        <v>102</v>
      </c>
      <c r="U469" s="18">
        <v>0.33333333333333331</v>
      </c>
    </row>
    <row r="470" spans="19:21">
      <c r="S470" s="16">
        <v>98</v>
      </c>
      <c r="T470" s="17">
        <v>48</v>
      </c>
      <c r="U470" s="18">
        <v>0.2</v>
      </c>
    </row>
    <row r="471" spans="19:21">
      <c r="S471" s="16">
        <v>98</v>
      </c>
      <c r="T471" s="17">
        <v>96</v>
      </c>
      <c r="U471" s="18">
        <v>0.2</v>
      </c>
    </row>
    <row r="472" spans="19:21">
      <c r="S472" s="16">
        <v>98</v>
      </c>
      <c r="T472" s="17">
        <v>99</v>
      </c>
      <c r="U472" s="18">
        <v>0.2</v>
      </c>
    </row>
    <row r="473" spans="19:21">
      <c r="S473" s="16">
        <v>98</v>
      </c>
      <c r="T473" s="17">
        <v>105</v>
      </c>
      <c r="U473" s="18">
        <v>0.2</v>
      </c>
    </row>
    <row r="474" spans="19:21">
      <c r="S474" s="16">
        <v>98</v>
      </c>
      <c r="T474" s="17">
        <v>106</v>
      </c>
      <c r="U474" s="18">
        <v>0.2</v>
      </c>
    </row>
    <row r="475" spans="19:21">
      <c r="S475" s="16">
        <v>99</v>
      </c>
      <c r="T475" s="17">
        <v>96</v>
      </c>
      <c r="U475" s="18">
        <v>0.33333333333333331</v>
      </c>
    </row>
    <row r="476" spans="19:21">
      <c r="S476" s="16">
        <v>99</v>
      </c>
      <c r="T476" s="17">
        <v>98</v>
      </c>
      <c r="U476" s="18">
        <v>0.33333333333333331</v>
      </c>
    </row>
    <row r="477" spans="19:21">
      <c r="S477" s="16">
        <v>99</v>
      </c>
      <c r="T477" s="17">
        <v>107</v>
      </c>
      <c r="U477" s="18">
        <v>0.33333333333333331</v>
      </c>
    </row>
    <row r="478" spans="19:21">
      <c r="S478" s="16">
        <v>100</v>
      </c>
      <c r="T478" s="17">
        <v>95</v>
      </c>
      <c r="U478" s="18">
        <v>0.33333333333333331</v>
      </c>
    </row>
    <row r="479" spans="19:21">
      <c r="S479" s="16">
        <v>100</v>
      </c>
      <c r="T479" s="17">
        <v>101</v>
      </c>
      <c r="U479" s="18">
        <v>0.33333333333333331</v>
      </c>
    </row>
    <row r="480" spans="19:21">
      <c r="S480" s="16">
        <v>100</v>
      </c>
      <c r="T480" s="17">
        <v>103</v>
      </c>
      <c r="U480" s="18">
        <v>0.33333333333333331</v>
      </c>
    </row>
    <row r="481" spans="19:21">
      <c r="S481" s="16">
        <v>101</v>
      </c>
      <c r="T481" s="17">
        <v>33</v>
      </c>
      <c r="U481" s="18">
        <v>0.1111111111111111</v>
      </c>
    </row>
    <row r="482" spans="19:21">
      <c r="S482" s="16">
        <v>101</v>
      </c>
      <c r="T482" s="17">
        <v>59</v>
      </c>
      <c r="U482" s="18">
        <v>0.1111111111111111</v>
      </c>
    </row>
    <row r="483" spans="19:21">
      <c r="S483" s="16">
        <v>101</v>
      </c>
      <c r="T483" s="17">
        <v>62</v>
      </c>
      <c r="U483" s="18">
        <v>0.1111111111111111</v>
      </c>
    </row>
    <row r="484" spans="19:21">
      <c r="S484" s="16">
        <v>101</v>
      </c>
      <c r="T484" s="17">
        <v>95</v>
      </c>
      <c r="U484" s="18">
        <v>0.1111111111111111</v>
      </c>
    </row>
    <row r="485" spans="19:21">
      <c r="S485" s="16">
        <v>101</v>
      </c>
      <c r="T485" s="17">
        <v>96</v>
      </c>
      <c r="U485" s="18">
        <v>0.1111111111111111</v>
      </c>
    </row>
    <row r="486" spans="19:21">
      <c r="S486" s="16">
        <v>101</v>
      </c>
      <c r="T486" s="17">
        <v>100</v>
      </c>
      <c r="U486" s="18">
        <v>0.1111111111111111</v>
      </c>
    </row>
    <row r="487" spans="19:21">
      <c r="S487" s="16">
        <v>101</v>
      </c>
      <c r="T487" s="17">
        <v>103</v>
      </c>
      <c r="U487" s="18">
        <v>0.1111111111111111</v>
      </c>
    </row>
    <row r="488" spans="19:21">
      <c r="S488" s="16">
        <v>101</v>
      </c>
      <c r="T488" s="17">
        <v>104</v>
      </c>
      <c r="U488" s="18">
        <v>0.1111111111111111</v>
      </c>
    </row>
    <row r="489" spans="19:21">
      <c r="S489" s="16">
        <v>101</v>
      </c>
      <c r="T489" s="17">
        <v>108</v>
      </c>
      <c r="U489" s="18">
        <v>0.1111111111111111</v>
      </c>
    </row>
    <row r="490" spans="19:21">
      <c r="S490" s="16">
        <v>102</v>
      </c>
      <c r="T490" s="17">
        <v>44</v>
      </c>
      <c r="U490" s="18">
        <v>0.25</v>
      </c>
    </row>
    <row r="491" spans="19:21">
      <c r="S491" s="16">
        <v>102</v>
      </c>
      <c r="T491" s="17">
        <v>53</v>
      </c>
      <c r="U491" s="18">
        <v>0.25</v>
      </c>
    </row>
    <row r="492" spans="19:21">
      <c r="S492" s="16">
        <v>102</v>
      </c>
      <c r="T492" s="17">
        <v>95</v>
      </c>
      <c r="U492" s="18">
        <v>0.25</v>
      </c>
    </row>
    <row r="493" spans="19:21">
      <c r="S493" s="16">
        <v>102</v>
      </c>
      <c r="T493" s="17">
        <v>97</v>
      </c>
      <c r="U493" s="18">
        <v>0.25</v>
      </c>
    </row>
    <row r="494" spans="19:21">
      <c r="S494" s="16">
        <v>103</v>
      </c>
      <c r="T494" s="17">
        <v>48</v>
      </c>
      <c r="U494" s="18">
        <v>0.1111111111111111</v>
      </c>
    </row>
    <row r="495" spans="19:21">
      <c r="S495" s="16">
        <v>103</v>
      </c>
      <c r="T495" s="17">
        <v>49</v>
      </c>
      <c r="U495" s="18">
        <v>0.1111111111111111</v>
      </c>
    </row>
    <row r="496" spans="19:21">
      <c r="S496" s="16">
        <v>103</v>
      </c>
      <c r="T496" s="17">
        <v>53</v>
      </c>
      <c r="U496" s="18">
        <v>0.1111111111111111</v>
      </c>
    </row>
    <row r="497" spans="19:21">
      <c r="S497" s="16">
        <v>103</v>
      </c>
      <c r="T497" s="17">
        <v>95</v>
      </c>
      <c r="U497" s="18">
        <v>0.1111111111111111</v>
      </c>
    </row>
    <row r="498" spans="19:21">
      <c r="S498" s="16">
        <v>103</v>
      </c>
      <c r="T498" s="17">
        <v>96</v>
      </c>
      <c r="U498" s="18">
        <v>0.1111111111111111</v>
      </c>
    </row>
    <row r="499" spans="19:21">
      <c r="S499" s="16">
        <v>103</v>
      </c>
      <c r="T499" s="17">
        <v>100</v>
      </c>
      <c r="U499" s="18">
        <v>0.1111111111111111</v>
      </c>
    </row>
    <row r="500" spans="19:21">
      <c r="S500" s="16">
        <v>103</v>
      </c>
      <c r="T500" s="17">
        <v>101</v>
      </c>
      <c r="U500" s="18">
        <v>0.1111111111111111</v>
      </c>
    </row>
    <row r="501" spans="19:21">
      <c r="S501" s="16">
        <v>103</v>
      </c>
      <c r="T501" s="17">
        <v>105</v>
      </c>
      <c r="U501" s="18">
        <v>0.1111111111111111</v>
      </c>
    </row>
    <row r="502" spans="19:21">
      <c r="S502" s="16">
        <v>103</v>
      </c>
      <c r="T502" s="17">
        <v>106</v>
      </c>
      <c r="U502" s="18">
        <v>0.1111111111111111</v>
      </c>
    </row>
    <row r="503" spans="19:21">
      <c r="S503" s="16">
        <v>104</v>
      </c>
      <c r="T503" s="17">
        <v>19</v>
      </c>
      <c r="U503" s="18">
        <v>0.14285714285714285</v>
      </c>
    </row>
    <row r="504" spans="19:21">
      <c r="S504" s="16">
        <v>104</v>
      </c>
      <c r="T504" s="17">
        <v>33</v>
      </c>
      <c r="U504" s="18">
        <v>0.14285714285714285</v>
      </c>
    </row>
    <row r="505" spans="19:21">
      <c r="S505" s="16">
        <v>104</v>
      </c>
      <c r="T505" s="17">
        <v>34</v>
      </c>
      <c r="U505" s="18">
        <v>0.14285714285714285</v>
      </c>
    </row>
    <row r="506" spans="19:21">
      <c r="S506" s="16">
        <v>104</v>
      </c>
      <c r="T506" s="17">
        <v>96</v>
      </c>
      <c r="U506" s="18">
        <v>0.14285714285714285</v>
      </c>
    </row>
    <row r="507" spans="19:21">
      <c r="S507" s="16">
        <v>104</v>
      </c>
      <c r="T507" s="17">
        <v>101</v>
      </c>
      <c r="U507" s="18">
        <v>0.14285714285714285</v>
      </c>
    </row>
    <row r="508" spans="19:21">
      <c r="S508" s="16">
        <v>104</v>
      </c>
      <c r="T508" s="17">
        <v>107</v>
      </c>
      <c r="U508" s="18">
        <v>0.14285714285714285</v>
      </c>
    </row>
    <row r="509" spans="19:21">
      <c r="S509" s="16">
        <v>104</v>
      </c>
      <c r="T509" s="17">
        <v>108</v>
      </c>
      <c r="U509" s="18">
        <v>0.14285714285714285</v>
      </c>
    </row>
    <row r="510" spans="19:21">
      <c r="S510" s="16">
        <v>105</v>
      </c>
      <c r="T510" s="17">
        <v>48</v>
      </c>
      <c r="U510" s="18">
        <v>0.25</v>
      </c>
    </row>
    <row r="511" spans="19:21">
      <c r="S511" s="16">
        <v>105</v>
      </c>
      <c r="T511" s="17">
        <v>98</v>
      </c>
      <c r="U511" s="18">
        <v>0.25</v>
      </c>
    </row>
    <row r="512" spans="19:21">
      <c r="S512" s="16">
        <v>105</v>
      </c>
      <c r="T512" s="17">
        <v>103</v>
      </c>
      <c r="U512" s="18">
        <v>0.25</v>
      </c>
    </row>
    <row r="513" spans="19:21">
      <c r="S513" s="16">
        <v>105</v>
      </c>
      <c r="T513" s="17">
        <v>106</v>
      </c>
      <c r="U513" s="18">
        <v>0.25</v>
      </c>
    </row>
    <row r="514" spans="19:21">
      <c r="S514" s="16">
        <v>106</v>
      </c>
      <c r="T514" s="17">
        <v>96</v>
      </c>
      <c r="U514" s="18">
        <v>0.25</v>
      </c>
    </row>
    <row r="515" spans="19:21">
      <c r="S515" s="16">
        <v>106</v>
      </c>
      <c r="T515" s="17">
        <v>98</v>
      </c>
      <c r="U515" s="18">
        <v>0.25</v>
      </c>
    </row>
    <row r="516" spans="19:21">
      <c r="S516" s="16">
        <v>106</v>
      </c>
      <c r="T516" s="17">
        <v>103</v>
      </c>
      <c r="U516" s="18">
        <v>0.25</v>
      </c>
    </row>
    <row r="517" spans="19:21">
      <c r="S517" s="16">
        <v>106</v>
      </c>
      <c r="T517" s="17">
        <v>105</v>
      </c>
      <c r="U517" s="18">
        <v>0.25</v>
      </c>
    </row>
    <row r="518" spans="19:21">
      <c r="S518" s="16">
        <v>107</v>
      </c>
      <c r="T518" s="17">
        <v>19</v>
      </c>
      <c r="U518" s="18">
        <v>0.16666666666666666</v>
      </c>
    </row>
    <row r="519" spans="19:21">
      <c r="S519" s="16">
        <v>107</v>
      </c>
      <c r="T519" s="17">
        <v>21</v>
      </c>
      <c r="U519" s="18">
        <v>0.16666666666666666</v>
      </c>
    </row>
    <row r="520" spans="19:21">
      <c r="S520" s="16">
        <v>107</v>
      </c>
      <c r="T520" s="17">
        <v>22</v>
      </c>
      <c r="U520" s="18">
        <v>0.16666666666666666</v>
      </c>
    </row>
    <row r="521" spans="19:21">
      <c r="S521" s="16">
        <v>107</v>
      </c>
      <c r="T521" s="17">
        <v>96</v>
      </c>
      <c r="U521" s="18">
        <v>0.16666666666666666</v>
      </c>
    </row>
    <row r="522" spans="19:21">
      <c r="S522" s="16">
        <v>107</v>
      </c>
      <c r="T522" s="17">
        <v>99</v>
      </c>
      <c r="U522" s="18">
        <v>0.16666666666666666</v>
      </c>
    </row>
    <row r="523" spans="19:21">
      <c r="S523" s="16">
        <v>107</v>
      </c>
      <c r="T523" s="17">
        <v>104</v>
      </c>
      <c r="U523" s="18">
        <v>0.16666666666666666</v>
      </c>
    </row>
    <row r="524" spans="19:21">
      <c r="S524" s="16">
        <v>108</v>
      </c>
      <c r="T524" s="17">
        <v>19</v>
      </c>
      <c r="U524" s="18">
        <v>0.16666666666666666</v>
      </c>
    </row>
    <row r="525" spans="19:21">
      <c r="S525" s="16">
        <v>108</v>
      </c>
      <c r="T525" s="17">
        <v>33</v>
      </c>
      <c r="U525" s="18">
        <v>0.16666666666666666</v>
      </c>
    </row>
    <row r="526" spans="19:21">
      <c r="S526" s="16">
        <v>108</v>
      </c>
      <c r="T526" s="17">
        <v>34</v>
      </c>
      <c r="U526" s="18">
        <v>0.16666666666666666</v>
      </c>
    </row>
    <row r="527" spans="19:21">
      <c r="S527" s="16">
        <v>108</v>
      </c>
      <c r="T527" s="17">
        <v>96</v>
      </c>
      <c r="U527" s="18">
        <v>0.16666666666666666</v>
      </c>
    </row>
    <row r="528" spans="19:21">
      <c r="S528" s="16">
        <v>108</v>
      </c>
      <c r="T528" s="17">
        <v>101</v>
      </c>
      <c r="U528" s="18">
        <v>0.16666666666666666</v>
      </c>
    </row>
    <row r="529" spans="19:21" ht="15.75" thickBot="1">
      <c r="S529" s="19">
        <v>108</v>
      </c>
      <c r="T529" s="20">
        <v>104</v>
      </c>
      <c r="U529" s="21">
        <v>0.16666666666666666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/>
  <dimension ref="A1:CK529"/>
  <sheetViews>
    <sheetView workbookViewId="0">
      <selection activeCell="B9" sqref="B9"/>
    </sheetView>
  </sheetViews>
  <sheetFormatPr defaultRowHeight="15"/>
  <cols>
    <col min="1" max="1" width="23.140625" customWidth="1"/>
    <col min="2" max="2" width="11.5703125" bestFit="1" customWidth="1"/>
    <col min="3" max="3" width="18.7109375" bestFit="1" customWidth="1"/>
    <col min="4" max="4" width="9.85546875" customWidth="1"/>
    <col min="5" max="5" width="24.42578125" customWidth="1"/>
    <col min="6" max="6" width="24.28515625" customWidth="1"/>
    <col min="10" max="11" width="10.7109375" bestFit="1" customWidth="1"/>
    <col min="12" max="12" width="12.7109375" bestFit="1" customWidth="1"/>
    <col min="13" max="13" width="12" bestFit="1" customWidth="1"/>
    <col min="14" max="14" width="14.140625" bestFit="1" customWidth="1"/>
    <col min="17" max="17" width="11.5703125" customWidth="1"/>
    <col min="18" max="18" width="13" customWidth="1"/>
  </cols>
  <sheetData>
    <row r="1" spans="1:89">
      <c r="A1" s="2" t="s">
        <v>143</v>
      </c>
    </row>
    <row r="2" spans="1:89">
      <c r="A2" s="2" t="s">
        <v>147</v>
      </c>
    </row>
    <row r="3" spans="1:89">
      <c r="A3" s="2" t="s">
        <v>128</v>
      </c>
    </row>
    <row r="4" spans="1:89">
      <c r="A4" s="2" t="s">
        <v>139</v>
      </c>
    </row>
    <row r="5" spans="1:89">
      <c r="A5" s="2" t="s">
        <v>144</v>
      </c>
    </row>
    <row r="7" spans="1:89" ht="15.75" thickBot="1">
      <c r="A7" s="4" t="s">
        <v>145</v>
      </c>
      <c r="F7" s="27"/>
    </row>
    <row r="8" spans="1:89" ht="15.75" thickBot="1">
      <c r="A8" s="29" t="s">
        <v>126</v>
      </c>
      <c r="B8" s="49">
        <v>0.15</v>
      </c>
      <c r="F8" s="1"/>
    </row>
    <row r="9" spans="1:89" ht="15.75" thickBot="1">
      <c r="A9" s="48" t="s">
        <v>141</v>
      </c>
      <c r="B9" s="50">
        <v>15000</v>
      </c>
      <c r="F9" s="1"/>
    </row>
    <row r="10" spans="1:89" ht="15.75" thickBot="1">
      <c r="A10" s="47" t="s">
        <v>140</v>
      </c>
      <c r="B10" s="51">
        <v>10</v>
      </c>
      <c r="D10" s="26"/>
      <c r="E10" s="36"/>
      <c r="F10" s="1"/>
    </row>
    <row r="11" spans="1:89">
      <c r="D11" s="26"/>
      <c r="E11" s="36"/>
      <c r="F11" s="1"/>
    </row>
    <row r="12" spans="1:89">
      <c r="F12" s="1"/>
    </row>
    <row r="13" spans="1:89" ht="15.75" thickBot="1">
      <c r="D13" s="26"/>
      <c r="E13" s="28"/>
      <c r="F13" s="28"/>
    </row>
    <row r="14" spans="1:89" ht="15.75" thickBot="1">
      <c r="E14" s="33"/>
      <c r="F14" s="33"/>
      <c r="J14" s="23" t="s">
        <v>146</v>
      </c>
      <c r="K14" s="9"/>
      <c r="L14" s="9"/>
      <c r="M14" s="9"/>
      <c r="N14" s="10"/>
      <c r="P14" s="11" t="s">
        <v>131</v>
      </c>
    </row>
    <row r="15" spans="1:89" ht="15.75" thickBot="1">
      <c r="A15" s="23" t="s">
        <v>1</v>
      </c>
      <c r="B15" s="46" t="s">
        <v>2</v>
      </c>
      <c r="C15" s="24" t="s">
        <v>3</v>
      </c>
      <c r="D15" s="29" t="s">
        <v>0</v>
      </c>
      <c r="E15" s="34" t="s">
        <v>127</v>
      </c>
      <c r="F15" s="35" t="s">
        <v>142</v>
      </c>
      <c r="J15" s="40" t="s">
        <v>0</v>
      </c>
      <c r="K15" s="41" t="s">
        <v>132</v>
      </c>
      <c r="L15" s="41" t="s">
        <v>135</v>
      </c>
      <c r="M15" s="41" t="s">
        <v>133</v>
      </c>
      <c r="N15" s="42" t="s">
        <v>136</v>
      </c>
      <c r="P15" s="2" t="s">
        <v>129</v>
      </c>
      <c r="Q15" s="2" t="s">
        <v>130</v>
      </c>
      <c r="R15" s="26" t="s">
        <v>152</v>
      </c>
      <c r="S15" s="2" t="s">
        <v>138</v>
      </c>
      <c r="W15" t="s">
        <v>134</v>
      </c>
      <c r="AI15" t="s">
        <v>137</v>
      </c>
    </row>
    <row r="16" spans="1:89" ht="15.75" thickBot="1">
      <c r="A16" s="5" t="s">
        <v>7</v>
      </c>
      <c r="B16" s="43" t="s">
        <v>8</v>
      </c>
      <c r="C16" s="6" t="s">
        <v>9</v>
      </c>
      <c r="D16" s="22">
        <v>1</v>
      </c>
      <c r="E16" s="30">
        <f t="array" ref="E16:E123">addMat(MMULT(MINVERSE(subMat(eye(108),ScMatMult(sLag(W,eye(108),1),rho))),MMULT(Xmat,Beta)),R16:R123)</f>
        <v>0.14262684563381001</v>
      </c>
      <c r="F16" s="37">
        <f>MAX(0,MIN(E16,1)-$B$8)*$B$9*$B$10</f>
        <v>0</v>
      </c>
      <c r="J16" s="43">
        <v>1</v>
      </c>
      <c r="K16" s="54">
        <v>0</v>
      </c>
      <c r="L16" s="17">
        <f>K16^2</f>
        <v>0</v>
      </c>
      <c r="M16" s="52">
        <v>0</v>
      </c>
      <c r="N16" s="18">
        <f>M16^2</f>
        <v>0</v>
      </c>
      <c r="P16" s="12">
        <v>0.18194535228210901</v>
      </c>
      <c r="Q16" s="55">
        <v>0.115964585673902</v>
      </c>
      <c r="R16" s="59">
        <v>8.4844127136945197E-2</v>
      </c>
      <c r="S16" s="13">
        <v>1</v>
      </c>
      <c r="T16" s="14">
        <v>2</v>
      </c>
      <c r="U16" s="15">
        <v>0.25</v>
      </c>
      <c r="W16" s="13">
        <v>0</v>
      </c>
      <c r="X16" s="14">
        <v>1</v>
      </c>
      <c r="Y16" s="14">
        <v>0</v>
      </c>
      <c r="Z16" s="14">
        <v>0</v>
      </c>
      <c r="AA16" s="14">
        <v>0</v>
      </c>
      <c r="AB16" s="14">
        <v>0</v>
      </c>
      <c r="AC16" s="14">
        <v>0</v>
      </c>
      <c r="AD16" s="14">
        <v>0</v>
      </c>
      <c r="AE16" s="14">
        <v>0</v>
      </c>
      <c r="AF16" s="14">
        <v>0</v>
      </c>
      <c r="AG16" s="15">
        <v>0</v>
      </c>
      <c r="AI16" s="13">
        <f t="array" ref="AI16:CK123">stackH(Xint,matmul(Xint,NDVI))</f>
        <v>0</v>
      </c>
      <c r="AJ16" s="14">
        <v>1</v>
      </c>
      <c r="AK16" s="14">
        <v>0</v>
      </c>
      <c r="AL16" s="14">
        <v>0</v>
      </c>
      <c r="AM16" s="14">
        <v>0</v>
      </c>
      <c r="AN16" s="14">
        <v>0</v>
      </c>
      <c r="AO16" s="14">
        <v>0</v>
      </c>
      <c r="AP16" s="14">
        <v>0</v>
      </c>
      <c r="AQ16" s="14">
        <v>0</v>
      </c>
      <c r="AR16" s="14">
        <v>0</v>
      </c>
      <c r="AS16" s="14">
        <v>0</v>
      </c>
      <c r="AT16" s="14">
        <v>0</v>
      </c>
      <c r="AU16" s="14">
        <v>0</v>
      </c>
      <c r="AV16" s="14">
        <v>0</v>
      </c>
      <c r="AW16" s="14">
        <v>0</v>
      </c>
      <c r="AX16" s="14">
        <v>0</v>
      </c>
      <c r="AY16" s="14">
        <v>0</v>
      </c>
      <c r="AZ16" s="14">
        <v>0</v>
      </c>
      <c r="BA16" s="14">
        <v>0</v>
      </c>
      <c r="BB16" s="14">
        <v>0</v>
      </c>
      <c r="BC16" s="14">
        <v>0</v>
      </c>
      <c r="BD16" s="14">
        <v>0</v>
      </c>
      <c r="BE16" s="14">
        <v>0</v>
      </c>
      <c r="BF16" s="14">
        <v>0</v>
      </c>
      <c r="BG16" s="14">
        <v>0</v>
      </c>
      <c r="BH16" s="14">
        <v>0</v>
      </c>
      <c r="BI16" s="14">
        <v>0</v>
      </c>
      <c r="BJ16" s="14">
        <v>0</v>
      </c>
      <c r="BK16" s="14">
        <v>0</v>
      </c>
      <c r="BL16" s="14">
        <v>0</v>
      </c>
      <c r="BM16" s="14">
        <v>0</v>
      </c>
      <c r="BN16" s="14">
        <v>0</v>
      </c>
      <c r="BO16" s="14">
        <v>0</v>
      </c>
      <c r="BP16" s="14">
        <v>0</v>
      </c>
      <c r="BQ16" s="14">
        <v>0</v>
      </c>
      <c r="BR16" s="14">
        <v>0</v>
      </c>
      <c r="BS16" s="14">
        <v>0</v>
      </c>
      <c r="BT16" s="14">
        <v>0</v>
      </c>
      <c r="BU16" s="14">
        <v>0</v>
      </c>
      <c r="BV16" s="14">
        <v>0</v>
      </c>
      <c r="BW16" s="14">
        <v>0</v>
      </c>
      <c r="BX16" s="14">
        <v>0</v>
      </c>
      <c r="BY16" s="14">
        <v>0</v>
      </c>
      <c r="BZ16" s="14">
        <v>0</v>
      </c>
      <c r="CA16" s="14">
        <v>0</v>
      </c>
      <c r="CB16" s="14">
        <v>0</v>
      </c>
      <c r="CC16" s="14">
        <v>0</v>
      </c>
      <c r="CD16" s="14">
        <v>0</v>
      </c>
      <c r="CE16" s="14">
        <v>0</v>
      </c>
      <c r="CF16" s="14">
        <v>0</v>
      </c>
      <c r="CG16" s="14">
        <v>0</v>
      </c>
      <c r="CH16" s="14">
        <v>0</v>
      </c>
      <c r="CI16" s="14">
        <v>0</v>
      </c>
      <c r="CJ16" s="14">
        <v>0</v>
      </c>
      <c r="CK16" s="15">
        <v>0</v>
      </c>
    </row>
    <row r="17" spans="1:89">
      <c r="A17" s="5" t="s">
        <v>7</v>
      </c>
      <c r="B17" s="44" t="s">
        <v>8</v>
      </c>
      <c r="C17" s="6" t="s">
        <v>10</v>
      </c>
      <c r="D17" s="5">
        <v>2</v>
      </c>
      <c r="E17" s="31">
        <v>0.13425875599054393</v>
      </c>
      <c r="F17" s="38">
        <f>MAX(0,MIN(E17,1)-$B$8)*$B$9*$B$10</f>
        <v>0</v>
      </c>
      <c r="J17" s="44">
        <v>2</v>
      </c>
      <c r="K17" s="54">
        <v>0</v>
      </c>
      <c r="L17" s="17">
        <f t="shared" ref="L17:L80" si="0">K17^2</f>
        <v>0</v>
      </c>
      <c r="M17" s="52">
        <f>M16</f>
        <v>0</v>
      </c>
      <c r="N17" s="18">
        <f t="shared" ref="N17:N80" si="1">M17^2</f>
        <v>0</v>
      </c>
      <c r="Q17" s="56">
        <v>4.70512170015642E-2</v>
      </c>
      <c r="R17" s="60">
        <v>7.6726794137015705E-2</v>
      </c>
      <c r="S17" s="16">
        <v>1</v>
      </c>
      <c r="T17" s="17">
        <v>5</v>
      </c>
      <c r="U17" s="18">
        <v>0.25</v>
      </c>
      <c r="W17" s="16">
        <v>0</v>
      </c>
      <c r="X17" s="17">
        <v>1</v>
      </c>
      <c r="Y17" s="17">
        <v>0</v>
      </c>
      <c r="Z17" s="17">
        <v>0</v>
      </c>
      <c r="AA17" s="17">
        <v>0</v>
      </c>
      <c r="AB17" s="17">
        <v>0</v>
      </c>
      <c r="AC17" s="17">
        <v>0</v>
      </c>
      <c r="AD17" s="17">
        <v>0</v>
      </c>
      <c r="AE17" s="17">
        <v>0</v>
      </c>
      <c r="AF17" s="17">
        <v>0</v>
      </c>
      <c r="AG17" s="18">
        <v>0</v>
      </c>
      <c r="AI17" s="16">
        <v>0</v>
      </c>
      <c r="AJ17" s="17">
        <v>1</v>
      </c>
      <c r="AK17" s="17">
        <v>0</v>
      </c>
      <c r="AL17" s="17">
        <v>0</v>
      </c>
      <c r="AM17" s="17">
        <v>0</v>
      </c>
      <c r="AN17" s="17">
        <v>0</v>
      </c>
      <c r="AO17" s="17">
        <v>0</v>
      </c>
      <c r="AP17" s="17">
        <v>0</v>
      </c>
      <c r="AQ17" s="17">
        <v>0</v>
      </c>
      <c r="AR17" s="17">
        <v>0</v>
      </c>
      <c r="AS17" s="17">
        <v>0</v>
      </c>
      <c r="AT17" s="17">
        <v>0</v>
      </c>
      <c r="AU17" s="17">
        <v>0</v>
      </c>
      <c r="AV17" s="17">
        <v>0</v>
      </c>
      <c r="AW17" s="17">
        <v>0</v>
      </c>
      <c r="AX17" s="17">
        <v>0</v>
      </c>
      <c r="AY17" s="17">
        <v>0</v>
      </c>
      <c r="AZ17" s="17">
        <v>0</v>
      </c>
      <c r="BA17" s="17">
        <v>0</v>
      </c>
      <c r="BB17" s="17">
        <v>0</v>
      </c>
      <c r="BC17" s="17">
        <v>0</v>
      </c>
      <c r="BD17" s="17">
        <v>0</v>
      </c>
      <c r="BE17" s="17">
        <v>0</v>
      </c>
      <c r="BF17" s="17">
        <v>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7">
        <v>0</v>
      </c>
      <c r="BM17" s="17">
        <v>0</v>
      </c>
      <c r="BN17" s="17">
        <v>0</v>
      </c>
      <c r="BO17" s="17">
        <v>0</v>
      </c>
      <c r="BP17" s="17">
        <v>0</v>
      </c>
      <c r="BQ17" s="17">
        <v>0</v>
      </c>
      <c r="BR17" s="17">
        <v>0</v>
      </c>
      <c r="BS17" s="17">
        <v>0</v>
      </c>
      <c r="BT17" s="17">
        <v>0</v>
      </c>
      <c r="BU17" s="17">
        <v>0</v>
      </c>
      <c r="BV17" s="17">
        <v>0</v>
      </c>
      <c r="BW17" s="17">
        <v>0</v>
      </c>
      <c r="BX17" s="17">
        <v>0</v>
      </c>
      <c r="BY17" s="17">
        <v>0</v>
      </c>
      <c r="BZ17" s="17">
        <v>0</v>
      </c>
      <c r="CA17" s="17">
        <v>0</v>
      </c>
      <c r="CB17" s="17">
        <v>0</v>
      </c>
      <c r="CC17" s="17">
        <v>0</v>
      </c>
      <c r="CD17" s="17">
        <v>0</v>
      </c>
      <c r="CE17" s="17">
        <v>0</v>
      </c>
      <c r="CF17" s="17">
        <v>0</v>
      </c>
      <c r="CG17" s="17">
        <v>0</v>
      </c>
      <c r="CH17" s="17">
        <v>0</v>
      </c>
      <c r="CI17" s="17">
        <v>0</v>
      </c>
      <c r="CJ17" s="17">
        <v>0</v>
      </c>
      <c r="CK17" s="18">
        <v>0</v>
      </c>
    </row>
    <row r="18" spans="1:89">
      <c r="A18" s="5" t="s">
        <v>7</v>
      </c>
      <c r="B18" s="44" t="s">
        <v>8</v>
      </c>
      <c r="C18" s="6" t="s">
        <v>11</v>
      </c>
      <c r="D18" s="5">
        <v>3</v>
      </c>
      <c r="E18" s="31">
        <v>0.14297383251205847</v>
      </c>
      <c r="F18" s="38">
        <f t="shared" ref="F18:F81" si="2">MAX(0,MIN(E18,1)-$B$8)*$B$9*$B$10</f>
        <v>0</v>
      </c>
      <c r="J18" s="44">
        <v>3</v>
      </c>
      <c r="K18" s="54">
        <v>0</v>
      </c>
      <c r="L18" s="17">
        <f t="shared" si="0"/>
        <v>0</v>
      </c>
      <c r="M18" s="52">
        <f t="shared" ref="M18:M81" si="3">M17</f>
        <v>0</v>
      </c>
      <c r="N18" s="18">
        <f t="shared" si="1"/>
        <v>0</v>
      </c>
      <c r="Q18" s="56">
        <v>9.5141863247011293E-2</v>
      </c>
      <c r="R18" s="60">
        <v>8.5449183241158702E-2</v>
      </c>
      <c r="S18" s="16">
        <v>1</v>
      </c>
      <c r="T18" s="17">
        <v>6</v>
      </c>
      <c r="U18" s="18">
        <v>0.25</v>
      </c>
      <c r="W18" s="16">
        <v>0</v>
      </c>
      <c r="X18" s="17">
        <v>1</v>
      </c>
      <c r="Y18" s="17">
        <v>0</v>
      </c>
      <c r="Z18" s="17">
        <v>0</v>
      </c>
      <c r="AA18" s="17">
        <v>0</v>
      </c>
      <c r="AB18" s="17">
        <v>0</v>
      </c>
      <c r="AC18" s="17">
        <v>0</v>
      </c>
      <c r="AD18" s="17">
        <v>0</v>
      </c>
      <c r="AE18" s="17">
        <v>0</v>
      </c>
      <c r="AF18" s="17">
        <v>0</v>
      </c>
      <c r="AG18" s="18">
        <v>0</v>
      </c>
      <c r="AI18" s="16">
        <v>0</v>
      </c>
      <c r="AJ18" s="17">
        <v>1</v>
      </c>
      <c r="AK18" s="17">
        <v>0</v>
      </c>
      <c r="AL18" s="17">
        <v>0</v>
      </c>
      <c r="AM18" s="17">
        <v>0</v>
      </c>
      <c r="AN18" s="17">
        <v>0</v>
      </c>
      <c r="AO18" s="17">
        <v>0</v>
      </c>
      <c r="AP18" s="17">
        <v>0</v>
      </c>
      <c r="AQ18" s="17">
        <v>0</v>
      </c>
      <c r="AR18" s="17">
        <v>0</v>
      </c>
      <c r="AS18" s="17">
        <v>0</v>
      </c>
      <c r="AT18" s="17">
        <v>0</v>
      </c>
      <c r="AU18" s="17">
        <v>0</v>
      </c>
      <c r="AV18" s="17">
        <v>0</v>
      </c>
      <c r="AW18" s="17">
        <v>0</v>
      </c>
      <c r="AX18" s="17">
        <v>0</v>
      </c>
      <c r="AY18" s="17">
        <v>0</v>
      </c>
      <c r="AZ18" s="17">
        <v>0</v>
      </c>
      <c r="BA18" s="17">
        <v>0</v>
      </c>
      <c r="BB18" s="17">
        <v>0</v>
      </c>
      <c r="BC18" s="17">
        <v>0</v>
      </c>
      <c r="BD18" s="17">
        <v>0</v>
      </c>
      <c r="BE18" s="17">
        <v>0</v>
      </c>
      <c r="BF18" s="17">
        <v>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7">
        <v>0</v>
      </c>
      <c r="BN18" s="17">
        <v>0</v>
      </c>
      <c r="BO18" s="17">
        <v>0</v>
      </c>
      <c r="BP18" s="17">
        <v>0</v>
      </c>
      <c r="BQ18" s="17">
        <v>0</v>
      </c>
      <c r="BR18" s="17">
        <v>0</v>
      </c>
      <c r="BS18" s="17">
        <v>0</v>
      </c>
      <c r="BT18" s="17">
        <v>0</v>
      </c>
      <c r="BU18" s="17">
        <v>0</v>
      </c>
      <c r="BV18" s="17">
        <v>0</v>
      </c>
      <c r="BW18" s="17">
        <v>0</v>
      </c>
      <c r="BX18" s="17">
        <v>0</v>
      </c>
      <c r="BY18" s="17">
        <v>0</v>
      </c>
      <c r="BZ18" s="17">
        <v>0</v>
      </c>
      <c r="CA18" s="17">
        <v>0</v>
      </c>
      <c r="CB18" s="17">
        <v>0</v>
      </c>
      <c r="CC18" s="17">
        <v>0</v>
      </c>
      <c r="CD18" s="17">
        <v>0</v>
      </c>
      <c r="CE18" s="17">
        <v>0</v>
      </c>
      <c r="CF18" s="17">
        <v>0</v>
      </c>
      <c r="CG18" s="17">
        <v>0</v>
      </c>
      <c r="CH18" s="17">
        <v>0</v>
      </c>
      <c r="CI18" s="17">
        <v>0</v>
      </c>
      <c r="CJ18" s="17">
        <v>0</v>
      </c>
      <c r="CK18" s="18">
        <v>0</v>
      </c>
    </row>
    <row r="19" spans="1:89">
      <c r="A19" s="5" t="s">
        <v>7</v>
      </c>
      <c r="B19" s="44" t="s">
        <v>8</v>
      </c>
      <c r="C19" s="6" t="s">
        <v>12</v>
      </c>
      <c r="D19" s="5">
        <v>4</v>
      </c>
      <c r="E19" s="31">
        <v>0.1480576326104292</v>
      </c>
      <c r="F19" s="38">
        <f t="shared" si="2"/>
        <v>0</v>
      </c>
      <c r="J19" s="44">
        <v>4</v>
      </c>
      <c r="K19" s="54">
        <v>0</v>
      </c>
      <c r="L19" s="17">
        <f t="shared" si="0"/>
        <v>0</v>
      </c>
      <c r="M19" s="52">
        <f t="shared" si="3"/>
        <v>0</v>
      </c>
      <c r="N19" s="18">
        <f t="shared" si="1"/>
        <v>0</v>
      </c>
      <c r="Q19" s="56">
        <v>6.4361558388129902E-2</v>
      </c>
      <c r="R19" s="60">
        <v>9.0465290854974595E-2</v>
      </c>
      <c r="S19" s="16">
        <v>1</v>
      </c>
      <c r="T19" s="17">
        <v>9</v>
      </c>
      <c r="U19" s="18">
        <v>0.25</v>
      </c>
      <c r="W19" s="16">
        <v>0</v>
      </c>
      <c r="X19" s="17">
        <v>1</v>
      </c>
      <c r="Y19" s="17">
        <v>0</v>
      </c>
      <c r="Z19" s="17">
        <v>0</v>
      </c>
      <c r="AA19" s="17">
        <v>0</v>
      </c>
      <c r="AB19" s="17">
        <v>0</v>
      </c>
      <c r="AC19" s="17">
        <v>0</v>
      </c>
      <c r="AD19" s="17">
        <v>0</v>
      </c>
      <c r="AE19" s="17">
        <v>0</v>
      </c>
      <c r="AF19" s="17">
        <v>0</v>
      </c>
      <c r="AG19" s="18">
        <v>0</v>
      </c>
      <c r="AI19" s="16">
        <v>0</v>
      </c>
      <c r="AJ19" s="17">
        <v>1</v>
      </c>
      <c r="AK19" s="17">
        <v>0</v>
      </c>
      <c r="AL19" s="17">
        <v>0</v>
      </c>
      <c r="AM19" s="17">
        <v>0</v>
      </c>
      <c r="AN19" s="17">
        <v>0</v>
      </c>
      <c r="AO19" s="17">
        <v>0</v>
      </c>
      <c r="AP19" s="17">
        <v>0</v>
      </c>
      <c r="AQ19" s="17">
        <v>0</v>
      </c>
      <c r="AR19" s="17">
        <v>0</v>
      </c>
      <c r="AS19" s="17">
        <v>0</v>
      </c>
      <c r="AT19" s="17">
        <v>0</v>
      </c>
      <c r="AU19" s="17">
        <v>0</v>
      </c>
      <c r="AV19" s="17">
        <v>0</v>
      </c>
      <c r="AW19" s="17">
        <v>0</v>
      </c>
      <c r="AX19" s="17">
        <v>0</v>
      </c>
      <c r="AY19" s="17">
        <v>0</v>
      </c>
      <c r="AZ19" s="17">
        <v>0</v>
      </c>
      <c r="BA19" s="17">
        <v>0</v>
      </c>
      <c r="BB19" s="17">
        <v>0</v>
      </c>
      <c r="BC19" s="17">
        <v>0</v>
      </c>
      <c r="BD19" s="17">
        <v>0</v>
      </c>
      <c r="BE19" s="17">
        <v>0</v>
      </c>
      <c r="BF19" s="17">
        <v>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7">
        <v>0</v>
      </c>
      <c r="BN19" s="17">
        <v>0</v>
      </c>
      <c r="BO19" s="17">
        <v>0</v>
      </c>
      <c r="BP19" s="17">
        <v>0</v>
      </c>
      <c r="BQ19" s="17">
        <v>0</v>
      </c>
      <c r="BR19" s="17">
        <v>0</v>
      </c>
      <c r="BS19" s="17">
        <v>0</v>
      </c>
      <c r="BT19" s="17">
        <v>0</v>
      </c>
      <c r="BU19" s="17">
        <v>0</v>
      </c>
      <c r="BV19" s="17">
        <v>0</v>
      </c>
      <c r="BW19" s="17">
        <v>0</v>
      </c>
      <c r="BX19" s="17">
        <v>0</v>
      </c>
      <c r="BY19" s="17">
        <v>0</v>
      </c>
      <c r="BZ19" s="17">
        <v>0</v>
      </c>
      <c r="CA19" s="17">
        <v>0</v>
      </c>
      <c r="CB19" s="17">
        <v>0</v>
      </c>
      <c r="CC19" s="17">
        <v>0</v>
      </c>
      <c r="CD19" s="17">
        <v>0</v>
      </c>
      <c r="CE19" s="17">
        <v>0</v>
      </c>
      <c r="CF19" s="17">
        <v>0</v>
      </c>
      <c r="CG19" s="17">
        <v>0</v>
      </c>
      <c r="CH19" s="17">
        <v>0</v>
      </c>
      <c r="CI19" s="17">
        <v>0</v>
      </c>
      <c r="CJ19" s="17">
        <v>0</v>
      </c>
      <c r="CK19" s="18">
        <v>0</v>
      </c>
    </row>
    <row r="20" spans="1:89">
      <c r="A20" s="5" t="s">
        <v>7</v>
      </c>
      <c r="B20" s="44" t="s">
        <v>8</v>
      </c>
      <c r="C20" s="6" t="s">
        <v>13</v>
      </c>
      <c r="D20" s="5">
        <v>5</v>
      </c>
      <c r="E20" s="31">
        <v>0.1409318909533922</v>
      </c>
      <c r="F20" s="38">
        <f t="shared" si="2"/>
        <v>0</v>
      </c>
      <c r="J20" s="44">
        <v>5</v>
      </c>
      <c r="K20" s="54">
        <v>0</v>
      </c>
      <c r="L20" s="17">
        <f t="shared" si="0"/>
        <v>0</v>
      </c>
      <c r="M20" s="52">
        <f t="shared" si="3"/>
        <v>0</v>
      </c>
      <c r="N20" s="18">
        <f t="shared" si="1"/>
        <v>0</v>
      </c>
      <c r="Q20" s="56">
        <v>5.9747308128566802E-2</v>
      </c>
      <c r="R20" s="60">
        <v>8.33304880263043E-2</v>
      </c>
      <c r="S20" s="16">
        <v>2</v>
      </c>
      <c r="T20" s="17">
        <v>1</v>
      </c>
      <c r="U20" s="18">
        <v>0.2</v>
      </c>
      <c r="W20" s="16">
        <v>0</v>
      </c>
      <c r="X20" s="17">
        <v>1</v>
      </c>
      <c r="Y20" s="17">
        <v>0</v>
      </c>
      <c r="Z20" s="17">
        <v>0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7">
        <v>0</v>
      </c>
      <c r="AG20" s="18">
        <v>0</v>
      </c>
      <c r="AI20" s="16">
        <v>0</v>
      </c>
      <c r="AJ20" s="17">
        <v>1</v>
      </c>
      <c r="AK20" s="17">
        <v>0</v>
      </c>
      <c r="AL20" s="17">
        <v>0</v>
      </c>
      <c r="AM20" s="17">
        <v>0</v>
      </c>
      <c r="AN20" s="17">
        <v>0</v>
      </c>
      <c r="AO20" s="17">
        <v>0</v>
      </c>
      <c r="AP20" s="17">
        <v>0</v>
      </c>
      <c r="AQ20" s="17">
        <v>0</v>
      </c>
      <c r="AR20" s="17">
        <v>0</v>
      </c>
      <c r="AS20" s="17">
        <v>0</v>
      </c>
      <c r="AT20" s="17">
        <v>0</v>
      </c>
      <c r="AU20" s="17">
        <v>0</v>
      </c>
      <c r="AV20" s="17">
        <v>0</v>
      </c>
      <c r="AW20" s="17">
        <v>0</v>
      </c>
      <c r="AX20" s="17">
        <v>0</v>
      </c>
      <c r="AY20" s="17">
        <v>0</v>
      </c>
      <c r="AZ20" s="17">
        <v>0</v>
      </c>
      <c r="BA20" s="17">
        <v>0</v>
      </c>
      <c r="BB20" s="17">
        <v>0</v>
      </c>
      <c r="BC20" s="17">
        <v>0</v>
      </c>
      <c r="BD20" s="17">
        <v>0</v>
      </c>
      <c r="BE20" s="17">
        <v>0</v>
      </c>
      <c r="BF20" s="17">
        <v>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7">
        <v>0</v>
      </c>
      <c r="BN20" s="17">
        <v>0</v>
      </c>
      <c r="BO20" s="17">
        <v>0</v>
      </c>
      <c r="BP20" s="17">
        <v>0</v>
      </c>
      <c r="BQ20" s="17">
        <v>0</v>
      </c>
      <c r="BR20" s="17">
        <v>0</v>
      </c>
      <c r="BS20" s="17">
        <v>0</v>
      </c>
      <c r="BT20" s="17">
        <v>0</v>
      </c>
      <c r="BU20" s="17">
        <v>0</v>
      </c>
      <c r="BV20" s="17">
        <v>0</v>
      </c>
      <c r="BW20" s="17">
        <v>0</v>
      </c>
      <c r="BX20" s="17">
        <v>0</v>
      </c>
      <c r="BY20" s="17">
        <v>0</v>
      </c>
      <c r="BZ20" s="17">
        <v>0</v>
      </c>
      <c r="CA20" s="17">
        <v>0</v>
      </c>
      <c r="CB20" s="17">
        <v>0</v>
      </c>
      <c r="CC20" s="17">
        <v>0</v>
      </c>
      <c r="CD20" s="17">
        <v>0</v>
      </c>
      <c r="CE20" s="17">
        <v>0</v>
      </c>
      <c r="CF20" s="17">
        <v>0</v>
      </c>
      <c r="CG20" s="17">
        <v>0</v>
      </c>
      <c r="CH20" s="17">
        <v>0</v>
      </c>
      <c r="CI20" s="17">
        <v>0</v>
      </c>
      <c r="CJ20" s="17">
        <v>0</v>
      </c>
      <c r="CK20" s="18">
        <v>0</v>
      </c>
    </row>
    <row r="21" spans="1:89">
      <c r="A21" s="5" t="s">
        <v>7</v>
      </c>
      <c r="B21" s="44" t="s">
        <v>8</v>
      </c>
      <c r="C21" s="6" t="s">
        <v>14</v>
      </c>
      <c r="D21" s="5">
        <v>6</v>
      </c>
      <c r="E21" s="31">
        <v>0.14304386299982058</v>
      </c>
      <c r="F21" s="38">
        <f t="shared" si="2"/>
        <v>0</v>
      </c>
      <c r="J21" s="44">
        <v>6</v>
      </c>
      <c r="K21" s="54">
        <v>0</v>
      </c>
      <c r="L21" s="17">
        <f t="shared" si="0"/>
        <v>0</v>
      </c>
      <c r="M21" s="52">
        <f t="shared" si="3"/>
        <v>0</v>
      </c>
      <c r="N21" s="18">
        <f t="shared" si="1"/>
        <v>0</v>
      </c>
      <c r="Q21" s="56">
        <v>0.105713459838306</v>
      </c>
      <c r="R21" s="60">
        <v>8.1616936966079995E-2</v>
      </c>
      <c r="S21" s="16">
        <v>2</v>
      </c>
      <c r="T21" s="17">
        <v>3</v>
      </c>
      <c r="U21" s="18">
        <v>0.2</v>
      </c>
      <c r="W21" s="16">
        <v>0</v>
      </c>
      <c r="X21" s="17">
        <v>1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18">
        <v>0</v>
      </c>
      <c r="AI21" s="16">
        <v>0</v>
      </c>
      <c r="AJ21" s="17">
        <v>1</v>
      </c>
      <c r="AK21" s="17">
        <v>0</v>
      </c>
      <c r="AL21" s="17">
        <v>0</v>
      </c>
      <c r="AM21" s="17">
        <v>0</v>
      </c>
      <c r="AN21" s="17">
        <v>0</v>
      </c>
      <c r="AO21" s="17">
        <v>0</v>
      </c>
      <c r="AP21" s="17">
        <v>0</v>
      </c>
      <c r="AQ21" s="17">
        <v>0</v>
      </c>
      <c r="AR21" s="17">
        <v>0</v>
      </c>
      <c r="AS21" s="17">
        <v>0</v>
      </c>
      <c r="AT21" s="17">
        <v>0</v>
      </c>
      <c r="AU21" s="17">
        <v>0</v>
      </c>
      <c r="AV21" s="17">
        <v>0</v>
      </c>
      <c r="AW21" s="17">
        <v>0</v>
      </c>
      <c r="AX21" s="17">
        <v>0</v>
      </c>
      <c r="AY21" s="17">
        <v>0</v>
      </c>
      <c r="AZ21" s="17">
        <v>0</v>
      </c>
      <c r="BA21" s="17">
        <v>0</v>
      </c>
      <c r="BB21" s="17">
        <v>0</v>
      </c>
      <c r="BC21" s="17">
        <v>0</v>
      </c>
      <c r="BD21" s="17">
        <v>0</v>
      </c>
      <c r="BE21" s="17">
        <v>0</v>
      </c>
      <c r="BF21" s="17">
        <v>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7">
        <v>0</v>
      </c>
      <c r="BN21" s="17">
        <v>0</v>
      </c>
      <c r="BO21" s="17">
        <v>0</v>
      </c>
      <c r="BP21" s="17">
        <v>0</v>
      </c>
      <c r="BQ21" s="17">
        <v>0</v>
      </c>
      <c r="BR21" s="17">
        <v>0</v>
      </c>
      <c r="BS21" s="17">
        <v>0</v>
      </c>
      <c r="BT21" s="17">
        <v>0</v>
      </c>
      <c r="BU21" s="17">
        <v>0</v>
      </c>
      <c r="BV21" s="17">
        <v>0</v>
      </c>
      <c r="BW21" s="17">
        <v>0</v>
      </c>
      <c r="BX21" s="17">
        <v>0</v>
      </c>
      <c r="BY21" s="17">
        <v>0</v>
      </c>
      <c r="BZ21" s="17">
        <v>0</v>
      </c>
      <c r="CA21" s="17">
        <v>0</v>
      </c>
      <c r="CB21" s="17">
        <v>0</v>
      </c>
      <c r="CC21" s="17">
        <v>0</v>
      </c>
      <c r="CD21" s="17">
        <v>0</v>
      </c>
      <c r="CE21" s="17">
        <v>0</v>
      </c>
      <c r="CF21" s="17">
        <v>0</v>
      </c>
      <c r="CG21" s="17">
        <v>0</v>
      </c>
      <c r="CH21" s="17">
        <v>0</v>
      </c>
      <c r="CI21" s="17">
        <v>0</v>
      </c>
      <c r="CJ21" s="17">
        <v>0</v>
      </c>
      <c r="CK21" s="18">
        <v>0</v>
      </c>
    </row>
    <row r="22" spans="1:89">
      <c r="A22" s="5" t="s">
        <v>7</v>
      </c>
      <c r="B22" s="44" t="s">
        <v>8</v>
      </c>
      <c r="C22" s="6" t="s">
        <v>15</v>
      </c>
      <c r="D22" s="5">
        <v>7</v>
      </c>
      <c r="E22" s="31">
        <v>0.14205257227942397</v>
      </c>
      <c r="F22" s="38">
        <f t="shared" si="2"/>
        <v>0</v>
      </c>
      <c r="J22" s="44">
        <v>7</v>
      </c>
      <c r="K22" s="54">
        <v>0</v>
      </c>
      <c r="L22" s="17">
        <f t="shared" si="0"/>
        <v>0</v>
      </c>
      <c r="M22" s="52">
        <f t="shared" si="3"/>
        <v>0</v>
      </c>
      <c r="N22" s="18">
        <f t="shared" si="1"/>
        <v>0</v>
      </c>
      <c r="Q22" s="56">
        <v>4.5716721867184403E-2</v>
      </c>
      <c r="R22" s="60">
        <v>8.4498929492176203E-2</v>
      </c>
      <c r="S22" s="16">
        <v>2</v>
      </c>
      <c r="T22" s="17">
        <v>4</v>
      </c>
      <c r="U22" s="18">
        <v>0.2</v>
      </c>
      <c r="W22" s="16">
        <v>0</v>
      </c>
      <c r="X22" s="17">
        <v>1</v>
      </c>
      <c r="Y22" s="17">
        <v>0</v>
      </c>
      <c r="Z22" s="17">
        <v>0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18">
        <v>0</v>
      </c>
      <c r="AI22" s="16">
        <v>0</v>
      </c>
      <c r="AJ22" s="17">
        <v>1</v>
      </c>
      <c r="AK22" s="17">
        <v>0</v>
      </c>
      <c r="AL22" s="17">
        <v>0</v>
      </c>
      <c r="AM22" s="17">
        <v>0</v>
      </c>
      <c r="AN22" s="17">
        <v>0</v>
      </c>
      <c r="AO22" s="17">
        <v>0</v>
      </c>
      <c r="AP22" s="17">
        <v>0</v>
      </c>
      <c r="AQ22" s="17">
        <v>0</v>
      </c>
      <c r="AR22" s="17">
        <v>0</v>
      </c>
      <c r="AS22" s="17">
        <v>0</v>
      </c>
      <c r="AT22" s="17">
        <v>0</v>
      </c>
      <c r="AU22" s="17">
        <v>0</v>
      </c>
      <c r="AV22" s="17">
        <v>0</v>
      </c>
      <c r="AW22" s="17">
        <v>0</v>
      </c>
      <c r="AX22" s="17">
        <v>0</v>
      </c>
      <c r="AY22" s="17">
        <v>0</v>
      </c>
      <c r="AZ22" s="17">
        <v>0</v>
      </c>
      <c r="BA22" s="17">
        <v>0</v>
      </c>
      <c r="BB22" s="17">
        <v>0</v>
      </c>
      <c r="BC22" s="17">
        <v>0</v>
      </c>
      <c r="BD22" s="17">
        <v>0</v>
      </c>
      <c r="BE22" s="17">
        <v>0</v>
      </c>
      <c r="BF22" s="17">
        <v>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7">
        <v>0</v>
      </c>
      <c r="BN22" s="17">
        <v>0</v>
      </c>
      <c r="BO22" s="17">
        <v>0</v>
      </c>
      <c r="BP22" s="17">
        <v>0</v>
      </c>
      <c r="BQ22" s="17">
        <v>0</v>
      </c>
      <c r="BR22" s="17">
        <v>0</v>
      </c>
      <c r="BS22" s="17">
        <v>0</v>
      </c>
      <c r="BT22" s="17">
        <v>0</v>
      </c>
      <c r="BU22" s="17">
        <v>0</v>
      </c>
      <c r="BV22" s="17">
        <v>0</v>
      </c>
      <c r="BW22" s="17">
        <v>0</v>
      </c>
      <c r="BX22" s="17">
        <v>0</v>
      </c>
      <c r="BY22" s="17">
        <v>0</v>
      </c>
      <c r="BZ22" s="17">
        <v>0</v>
      </c>
      <c r="CA22" s="17">
        <v>0</v>
      </c>
      <c r="CB22" s="17">
        <v>0</v>
      </c>
      <c r="CC22" s="17">
        <v>0</v>
      </c>
      <c r="CD22" s="17">
        <v>0</v>
      </c>
      <c r="CE22" s="17">
        <v>0</v>
      </c>
      <c r="CF22" s="17">
        <v>0</v>
      </c>
      <c r="CG22" s="17">
        <v>0</v>
      </c>
      <c r="CH22" s="17">
        <v>0</v>
      </c>
      <c r="CI22" s="17">
        <v>0</v>
      </c>
      <c r="CJ22" s="17">
        <v>0</v>
      </c>
      <c r="CK22" s="18">
        <v>0</v>
      </c>
    </row>
    <row r="23" spans="1:89">
      <c r="A23" s="5" t="s">
        <v>7</v>
      </c>
      <c r="B23" s="44" t="s">
        <v>8</v>
      </c>
      <c r="C23" s="6" t="s">
        <v>16</v>
      </c>
      <c r="D23" s="5">
        <v>8</v>
      </c>
      <c r="E23" s="31">
        <v>0.13177353441530346</v>
      </c>
      <c r="F23" s="38">
        <f t="shared" si="2"/>
        <v>0</v>
      </c>
      <c r="J23" s="44">
        <v>8</v>
      </c>
      <c r="K23" s="54">
        <v>0</v>
      </c>
      <c r="L23" s="17">
        <f t="shared" si="0"/>
        <v>0</v>
      </c>
      <c r="M23" s="52">
        <f t="shared" si="3"/>
        <v>0</v>
      </c>
      <c r="N23" s="18">
        <f t="shared" si="1"/>
        <v>0</v>
      </c>
      <c r="Q23" s="56">
        <v>5.0423428078625099E-2</v>
      </c>
      <c r="R23" s="60">
        <v>7.4255614763228894E-2</v>
      </c>
      <c r="S23" s="16">
        <v>2</v>
      </c>
      <c r="T23" s="17">
        <v>5</v>
      </c>
      <c r="U23" s="18">
        <v>0.2</v>
      </c>
      <c r="W23" s="16">
        <v>0</v>
      </c>
      <c r="X23" s="17">
        <v>1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18">
        <v>0</v>
      </c>
      <c r="AI23" s="16">
        <v>0</v>
      </c>
      <c r="AJ23" s="17">
        <v>1</v>
      </c>
      <c r="AK23" s="17">
        <v>0</v>
      </c>
      <c r="AL23" s="17">
        <v>0</v>
      </c>
      <c r="AM23" s="17">
        <v>0</v>
      </c>
      <c r="AN23" s="17">
        <v>0</v>
      </c>
      <c r="AO23" s="17">
        <v>0</v>
      </c>
      <c r="AP23" s="17">
        <v>0</v>
      </c>
      <c r="AQ23" s="17">
        <v>0</v>
      </c>
      <c r="AR23" s="17">
        <v>0</v>
      </c>
      <c r="AS23" s="17">
        <v>0</v>
      </c>
      <c r="AT23" s="17">
        <v>0</v>
      </c>
      <c r="AU23" s="17">
        <v>0</v>
      </c>
      <c r="AV23" s="17">
        <v>0</v>
      </c>
      <c r="AW23" s="17">
        <v>0</v>
      </c>
      <c r="AX23" s="17">
        <v>0</v>
      </c>
      <c r="AY23" s="17">
        <v>0</v>
      </c>
      <c r="AZ23" s="17">
        <v>0</v>
      </c>
      <c r="BA23" s="17">
        <v>0</v>
      </c>
      <c r="BB23" s="17">
        <v>0</v>
      </c>
      <c r="BC23" s="17">
        <v>0</v>
      </c>
      <c r="BD23" s="17">
        <v>0</v>
      </c>
      <c r="BE23" s="17">
        <v>0</v>
      </c>
      <c r="BF23" s="17">
        <v>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7">
        <v>0</v>
      </c>
      <c r="BN23" s="17">
        <v>0</v>
      </c>
      <c r="BO23" s="17">
        <v>0</v>
      </c>
      <c r="BP23" s="17">
        <v>0</v>
      </c>
      <c r="BQ23" s="17">
        <v>0</v>
      </c>
      <c r="BR23" s="17">
        <v>0</v>
      </c>
      <c r="BS23" s="17">
        <v>0</v>
      </c>
      <c r="BT23" s="17">
        <v>0</v>
      </c>
      <c r="BU23" s="17">
        <v>0</v>
      </c>
      <c r="BV23" s="17">
        <v>0</v>
      </c>
      <c r="BW23" s="17">
        <v>0</v>
      </c>
      <c r="BX23" s="17">
        <v>0</v>
      </c>
      <c r="BY23" s="17">
        <v>0</v>
      </c>
      <c r="BZ23" s="17">
        <v>0</v>
      </c>
      <c r="CA23" s="17">
        <v>0</v>
      </c>
      <c r="CB23" s="17">
        <v>0</v>
      </c>
      <c r="CC23" s="17">
        <v>0</v>
      </c>
      <c r="CD23" s="17">
        <v>0</v>
      </c>
      <c r="CE23" s="17">
        <v>0</v>
      </c>
      <c r="CF23" s="17">
        <v>0</v>
      </c>
      <c r="CG23" s="17">
        <v>0</v>
      </c>
      <c r="CH23" s="17">
        <v>0</v>
      </c>
      <c r="CI23" s="17">
        <v>0</v>
      </c>
      <c r="CJ23" s="17">
        <v>0</v>
      </c>
      <c r="CK23" s="18">
        <v>0</v>
      </c>
    </row>
    <row r="24" spans="1:89">
      <c r="A24" s="5" t="s">
        <v>7</v>
      </c>
      <c r="B24" s="44" t="s">
        <v>8</v>
      </c>
      <c r="C24" s="6" t="s">
        <v>17</v>
      </c>
      <c r="D24" s="5">
        <v>9</v>
      </c>
      <c r="E24" s="31">
        <v>0.14287732931893041</v>
      </c>
      <c r="F24" s="38">
        <f t="shared" si="2"/>
        <v>0</v>
      </c>
      <c r="J24" s="44">
        <v>9</v>
      </c>
      <c r="K24" s="54">
        <v>0</v>
      </c>
      <c r="L24" s="17">
        <f t="shared" si="0"/>
        <v>0</v>
      </c>
      <c r="M24" s="52">
        <f t="shared" si="3"/>
        <v>0</v>
      </c>
      <c r="N24" s="18">
        <f t="shared" si="1"/>
        <v>0</v>
      </c>
      <c r="Q24" s="56">
        <v>9.5881340112012797E-2</v>
      </c>
      <c r="R24" s="60">
        <v>8.3509604150526204E-2</v>
      </c>
      <c r="S24" s="16">
        <v>2</v>
      </c>
      <c r="T24" s="17">
        <v>8</v>
      </c>
      <c r="U24" s="18">
        <v>0.2</v>
      </c>
      <c r="W24" s="16">
        <v>0</v>
      </c>
      <c r="X24" s="17">
        <v>1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17">
        <v>0</v>
      </c>
      <c r="AE24" s="17">
        <v>0</v>
      </c>
      <c r="AF24" s="17">
        <v>0</v>
      </c>
      <c r="AG24" s="18">
        <v>0</v>
      </c>
      <c r="AI24" s="16">
        <v>0</v>
      </c>
      <c r="AJ24" s="17">
        <v>1</v>
      </c>
      <c r="AK24" s="17">
        <v>0</v>
      </c>
      <c r="AL24" s="17">
        <v>0</v>
      </c>
      <c r="AM24" s="17">
        <v>0</v>
      </c>
      <c r="AN24" s="17">
        <v>0</v>
      </c>
      <c r="AO24" s="17">
        <v>0</v>
      </c>
      <c r="AP24" s="17">
        <v>0</v>
      </c>
      <c r="AQ24" s="17">
        <v>0</v>
      </c>
      <c r="AR24" s="17">
        <v>0</v>
      </c>
      <c r="AS24" s="17">
        <v>0</v>
      </c>
      <c r="AT24" s="17">
        <v>0</v>
      </c>
      <c r="AU24" s="17">
        <v>0</v>
      </c>
      <c r="AV24" s="17">
        <v>0</v>
      </c>
      <c r="AW24" s="17">
        <v>0</v>
      </c>
      <c r="AX24" s="17">
        <v>0</v>
      </c>
      <c r="AY24" s="17">
        <v>0</v>
      </c>
      <c r="AZ24" s="17">
        <v>0</v>
      </c>
      <c r="BA24" s="17">
        <v>0</v>
      </c>
      <c r="BB24" s="17">
        <v>0</v>
      </c>
      <c r="BC24" s="17">
        <v>0</v>
      </c>
      <c r="BD24" s="17">
        <v>0</v>
      </c>
      <c r="BE24" s="17">
        <v>0</v>
      </c>
      <c r="BF24" s="17">
        <v>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7">
        <v>0</v>
      </c>
      <c r="BN24" s="17">
        <v>0</v>
      </c>
      <c r="BO24" s="17">
        <v>0</v>
      </c>
      <c r="BP24" s="17">
        <v>0</v>
      </c>
      <c r="BQ24" s="17">
        <v>0</v>
      </c>
      <c r="BR24" s="17">
        <v>0</v>
      </c>
      <c r="BS24" s="17">
        <v>0</v>
      </c>
      <c r="BT24" s="17">
        <v>0</v>
      </c>
      <c r="BU24" s="17">
        <v>0</v>
      </c>
      <c r="BV24" s="17">
        <v>0</v>
      </c>
      <c r="BW24" s="17">
        <v>0</v>
      </c>
      <c r="BX24" s="17">
        <v>0</v>
      </c>
      <c r="BY24" s="17">
        <v>0</v>
      </c>
      <c r="BZ24" s="17">
        <v>0</v>
      </c>
      <c r="CA24" s="17">
        <v>0</v>
      </c>
      <c r="CB24" s="17">
        <v>0</v>
      </c>
      <c r="CC24" s="17">
        <v>0</v>
      </c>
      <c r="CD24" s="17">
        <v>0</v>
      </c>
      <c r="CE24" s="17">
        <v>0</v>
      </c>
      <c r="CF24" s="17">
        <v>0</v>
      </c>
      <c r="CG24" s="17">
        <v>0</v>
      </c>
      <c r="CH24" s="17">
        <v>0</v>
      </c>
      <c r="CI24" s="17">
        <v>0</v>
      </c>
      <c r="CJ24" s="17">
        <v>0</v>
      </c>
      <c r="CK24" s="18">
        <v>0</v>
      </c>
    </row>
    <row r="25" spans="1:89">
      <c r="A25" s="5" t="s">
        <v>7</v>
      </c>
      <c r="B25" s="44" t="s">
        <v>8</v>
      </c>
      <c r="C25" s="6" t="s">
        <v>18</v>
      </c>
      <c r="D25" s="5">
        <v>10</v>
      </c>
      <c r="E25" s="31">
        <v>0.14026151392699668</v>
      </c>
      <c r="F25" s="38">
        <f t="shared" si="2"/>
        <v>0</v>
      </c>
      <c r="J25" s="44">
        <v>10</v>
      </c>
      <c r="K25" s="54">
        <v>0</v>
      </c>
      <c r="L25" s="17">
        <f t="shared" si="0"/>
        <v>0</v>
      </c>
      <c r="M25" s="52">
        <f t="shared" si="3"/>
        <v>0</v>
      </c>
      <c r="N25" s="18">
        <f t="shared" si="1"/>
        <v>0</v>
      </c>
      <c r="Q25" s="56">
        <v>0.10238998497618899</v>
      </c>
      <c r="R25" s="60">
        <v>8.2608934309010298E-2</v>
      </c>
      <c r="S25" s="16">
        <v>3</v>
      </c>
      <c r="T25" s="17">
        <v>2</v>
      </c>
      <c r="U25" s="18">
        <v>0.2</v>
      </c>
      <c r="W25" s="16">
        <v>0</v>
      </c>
      <c r="X25" s="17">
        <v>1</v>
      </c>
      <c r="Y25" s="17">
        <v>0</v>
      </c>
      <c r="Z25" s="17">
        <v>0</v>
      </c>
      <c r="AA25" s="17">
        <v>0</v>
      </c>
      <c r="AB25" s="17">
        <v>0</v>
      </c>
      <c r="AC25" s="17">
        <v>0</v>
      </c>
      <c r="AD25" s="17">
        <v>0</v>
      </c>
      <c r="AE25" s="17">
        <v>0</v>
      </c>
      <c r="AF25" s="17">
        <v>0</v>
      </c>
      <c r="AG25" s="18">
        <v>0</v>
      </c>
      <c r="AI25" s="16">
        <v>0</v>
      </c>
      <c r="AJ25" s="17">
        <v>1</v>
      </c>
      <c r="AK25" s="17">
        <v>0</v>
      </c>
      <c r="AL25" s="17">
        <v>0</v>
      </c>
      <c r="AM25" s="17">
        <v>0</v>
      </c>
      <c r="AN25" s="17">
        <v>0</v>
      </c>
      <c r="AO25" s="17">
        <v>0</v>
      </c>
      <c r="AP25" s="17">
        <v>0</v>
      </c>
      <c r="AQ25" s="17">
        <v>0</v>
      </c>
      <c r="AR25" s="17">
        <v>0</v>
      </c>
      <c r="AS25" s="17">
        <v>0</v>
      </c>
      <c r="AT25" s="17">
        <v>0</v>
      </c>
      <c r="AU25" s="17">
        <v>0</v>
      </c>
      <c r="AV25" s="17">
        <v>0</v>
      </c>
      <c r="AW25" s="17">
        <v>0</v>
      </c>
      <c r="AX25" s="17">
        <v>0</v>
      </c>
      <c r="AY25" s="17">
        <v>0</v>
      </c>
      <c r="AZ25" s="17">
        <v>0</v>
      </c>
      <c r="BA25" s="17">
        <v>0</v>
      </c>
      <c r="BB25" s="17">
        <v>0</v>
      </c>
      <c r="BC25" s="17">
        <v>0</v>
      </c>
      <c r="BD25" s="17">
        <v>0</v>
      </c>
      <c r="BE25" s="17">
        <v>0</v>
      </c>
      <c r="BF25" s="17">
        <v>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7">
        <v>0</v>
      </c>
      <c r="BN25" s="17">
        <v>0</v>
      </c>
      <c r="BO25" s="17">
        <v>0</v>
      </c>
      <c r="BP25" s="17">
        <v>0</v>
      </c>
      <c r="BQ25" s="17">
        <v>0</v>
      </c>
      <c r="BR25" s="17">
        <v>0</v>
      </c>
      <c r="BS25" s="17">
        <v>0</v>
      </c>
      <c r="BT25" s="17">
        <v>0</v>
      </c>
      <c r="BU25" s="17">
        <v>0</v>
      </c>
      <c r="BV25" s="17">
        <v>0</v>
      </c>
      <c r="BW25" s="17">
        <v>0</v>
      </c>
      <c r="BX25" s="17">
        <v>0</v>
      </c>
      <c r="BY25" s="17">
        <v>0</v>
      </c>
      <c r="BZ25" s="17">
        <v>0</v>
      </c>
      <c r="CA25" s="17">
        <v>0</v>
      </c>
      <c r="CB25" s="17">
        <v>0</v>
      </c>
      <c r="CC25" s="17">
        <v>0</v>
      </c>
      <c r="CD25" s="17">
        <v>0</v>
      </c>
      <c r="CE25" s="17">
        <v>0</v>
      </c>
      <c r="CF25" s="17">
        <v>0</v>
      </c>
      <c r="CG25" s="17">
        <v>0</v>
      </c>
      <c r="CH25" s="17">
        <v>0</v>
      </c>
      <c r="CI25" s="17">
        <v>0</v>
      </c>
      <c r="CJ25" s="17">
        <v>0</v>
      </c>
      <c r="CK25" s="18">
        <v>0</v>
      </c>
    </row>
    <row r="26" spans="1:89">
      <c r="A26" s="5" t="s">
        <v>7</v>
      </c>
      <c r="B26" s="44" t="s">
        <v>8</v>
      </c>
      <c r="C26" s="6" t="s">
        <v>19</v>
      </c>
      <c r="D26" s="5">
        <v>11</v>
      </c>
      <c r="E26" s="31">
        <v>0.13310076321445435</v>
      </c>
      <c r="F26" s="38">
        <f t="shared" si="2"/>
        <v>0</v>
      </c>
      <c r="J26" s="44">
        <v>11</v>
      </c>
      <c r="K26" s="54">
        <v>0</v>
      </c>
      <c r="L26" s="17">
        <f t="shared" si="0"/>
        <v>0</v>
      </c>
      <c r="M26" s="52">
        <f t="shared" si="3"/>
        <v>0</v>
      </c>
      <c r="N26" s="18">
        <f t="shared" si="1"/>
        <v>0</v>
      </c>
      <c r="Q26" s="56">
        <v>5.8770737737754E-2</v>
      </c>
      <c r="R26" s="60">
        <v>7.1185564295312406E-2</v>
      </c>
      <c r="S26" s="16">
        <v>3</v>
      </c>
      <c r="T26" s="17">
        <v>4</v>
      </c>
      <c r="U26" s="18">
        <v>0.2</v>
      </c>
      <c r="W26" s="16">
        <v>0</v>
      </c>
      <c r="X26" s="17">
        <v>1</v>
      </c>
      <c r="Y26" s="17">
        <v>0</v>
      </c>
      <c r="Z26" s="17">
        <v>0</v>
      </c>
      <c r="AA26" s="17">
        <v>0</v>
      </c>
      <c r="AB26" s="17">
        <v>0</v>
      </c>
      <c r="AC26" s="17">
        <v>0</v>
      </c>
      <c r="AD26" s="17">
        <v>0</v>
      </c>
      <c r="AE26" s="17">
        <v>0</v>
      </c>
      <c r="AF26" s="17">
        <v>0</v>
      </c>
      <c r="AG26" s="18">
        <v>0</v>
      </c>
      <c r="AI26" s="16">
        <v>0</v>
      </c>
      <c r="AJ26" s="17">
        <v>1</v>
      </c>
      <c r="AK26" s="17">
        <v>0</v>
      </c>
      <c r="AL26" s="17">
        <v>0</v>
      </c>
      <c r="AM26" s="17">
        <v>0</v>
      </c>
      <c r="AN26" s="17">
        <v>0</v>
      </c>
      <c r="AO26" s="17">
        <v>0</v>
      </c>
      <c r="AP26" s="17">
        <v>0</v>
      </c>
      <c r="AQ26" s="17">
        <v>0</v>
      </c>
      <c r="AR26" s="17">
        <v>0</v>
      </c>
      <c r="AS26" s="17">
        <v>0</v>
      </c>
      <c r="AT26" s="17">
        <v>0</v>
      </c>
      <c r="AU26" s="17">
        <v>0</v>
      </c>
      <c r="AV26" s="17">
        <v>0</v>
      </c>
      <c r="AW26" s="17">
        <v>0</v>
      </c>
      <c r="AX26" s="17">
        <v>0</v>
      </c>
      <c r="AY26" s="17">
        <v>0</v>
      </c>
      <c r="AZ26" s="17">
        <v>0</v>
      </c>
      <c r="BA26" s="17">
        <v>0</v>
      </c>
      <c r="BB26" s="17">
        <v>0</v>
      </c>
      <c r="BC26" s="17">
        <v>0</v>
      </c>
      <c r="BD26" s="17">
        <v>0</v>
      </c>
      <c r="BE26" s="17">
        <v>0</v>
      </c>
      <c r="BF26" s="17">
        <v>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7">
        <v>0</v>
      </c>
      <c r="BN26" s="17">
        <v>0</v>
      </c>
      <c r="BO26" s="17">
        <v>0</v>
      </c>
      <c r="BP26" s="17">
        <v>0</v>
      </c>
      <c r="BQ26" s="17">
        <v>0</v>
      </c>
      <c r="BR26" s="17">
        <v>0</v>
      </c>
      <c r="BS26" s="17">
        <v>0</v>
      </c>
      <c r="BT26" s="17">
        <v>0</v>
      </c>
      <c r="BU26" s="17">
        <v>0</v>
      </c>
      <c r="BV26" s="17">
        <v>0</v>
      </c>
      <c r="BW26" s="17">
        <v>0</v>
      </c>
      <c r="BX26" s="17">
        <v>0</v>
      </c>
      <c r="BY26" s="17">
        <v>0</v>
      </c>
      <c r="BZ26" s="17">
        <v>0</v>
      </c>
      <c r="CA26" s="17">
        <v>0</v>
      </c>
      <c r="CB26" s="17">
        <v>0</v>
      </c>
      <c r="CC26" s="17">
        <v>0</v>
      </c>
      <c r="CD26" s="17">
        <v>0</v>
      </c>
      <c r="CE26" s="17">
        <v>0</v>
      </c>
      <c r="CF26" s="17">
        <v>0</v>
      </c>
      <c r="CG26" s="17">
        <v>0</v>
      </c>
      <c r="CH26" s="17">
        <v>0</v>
      </c>
      <c r="CI26" s="17">
        <v>0</v>
      </c>
      <c r="CJ26" s="17">
        <v>0</v>
      </c>
      <c r="CK26" s="18">
        <v>0</v>
      </c>
    </row>
    <row r="27" spans="1:89">
      <c r="A27" s="5" t="s">
        <v>7</v>
      </c>
      <c r="B27" s="44" t="s">
        <v>8</v>
      </c>
      <c r="C27" s="6" t="s">
        <v>20</v>
      </c>
      <c r="D27" s="5">
        <v>12</v>
      </c>
      <c r="E27" s="31">
        <v>0.13633378455984005</v>
      </c>
      <c r="F27" s="38">
        <f t="shared" si="2"/>
        <v>0</v>
      </c>
      <c r="J27" s="44">
        <v>12</v>
      </c>
      <c r="K27" s="54">
        <v>0</v>
      </c>
      <c r="L27" s="17">
        <f t="shared" si="0"/>
        <v>0</v>
      </c>
      <c r="M27" s="52">
        <f t="shared" si="3"/>
        <v>0</v>
      </c>
      <c r="N27" s="18">
        <f t="shared" si="1"/>
        <v>0</v>
      </c>
      <c r="Q27" s="57">
        <v>1.7246361390470999E-5</v>
      </c>
      <c r="R27" s="60">
        <v>7.8540427758418699E-2</v>
      </c>
      <c r="S27" s="16">
        <v>3</v>
      </c>
      <c r="T27" s="17">
        <v>8</v>
      </c>
      <c r="U27" s="18">
        <v>0.2</v>
      </c>
      <c r="W27" s="16">
        <v>0</v>
      </c>
      <c r="X27" s="17">
        <v>1</v>
      </c>
      <c r="Y27" s="17">
        <v>0</v>
      </c>
      <c r="Z27" s="17">
        <v>0</v>
      </c>
      <c r="AA27" s="17">
        <v>0</v>
      </c>
      <c r="AB27" s="17">
        <v>0</v>
      </c>
      <c r="AC27" s="17">
        <v>0</v>
      </c>
      <c r="AD27" s="17">
        <v>0</v>
      </c>
      <c r="AE27" s="17">
        <v>0</v>
      </c>
      <c r="AF27" s="17">
        <v>0</v>
      </c>
      <c r="AG27" s="18">
        <v>0</v>
      </c>
      <c r="AI27" s="16">
        <v>0</v>
      </c>
      <c r="AJ27" s="17">
        <v>1</v>
      </c>
      <c r="AK27" s="17">
        <v>0</v>
      </c>
      <c r="AL27" s="17">
        <v>0</v>
      </c>
      <c r="AM27" s="17">
        <v>0</v>
      </c>
      <c r="AN27" s="17">
        <v>0</v>
      </c>
      <c r="AO27" s="17">
        <v>0</v>
      </c>
      <c r="AP27" s="17">
        <v>0</v>
      </c>
      <c r="AQ27" s="17">
        <v>0</v>
      </c>
      <c r="AR27" s="17">
        <v>0</v>
      </c>
      <c r="AS27" s="17">
        <v>0</v>
      </c>
      <c r="AT27" s="17">
        <v>0</v>
      </c>
      <c r="AU27" s="17">
        <v>0</v>
      </c>
      <c r="AV27" s="17">
        <v>0</v>
      </c>
      <c r="AW27" s="17">
        <v>0</v>
      </c>
      <c r="AX27" s="17">
        <v>0</v>
      </c>
      <c r="AY27" s="17">
        <v>0</v>
      </c>
      <c r="AZ27" s="17">
        <v>0</v>
      </c>
      <c r="BA27" s="17">
        <v>0</v>
      </c>
      <c r="BB27" s="17">
        <v>0</v>
      </c>
      <c r="BC27" s="17">
        <v>0</v>
      </c>
      <c r="BD27" s="17">
        <v>0</v>
      </c>
      <c r="BE27" s="17">
        <v>0</v>
      </c>
      <c r="BF27" s="17">
        <v>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7">
        <v>0</v>
      </c>
      <c r="BN27" s="17">
        <v>0</v>
      </c>
      <c r="BO27" s="17">
        <v>0</v>
      </c>
      <c r="BP27" s="17">
        <v>0</v>
      </c>
      <c r="BQ27" s="17">
        <v>0</v>
      </c>
      <c r="BR27" s="17">
        <v>0</v>
      </c>
      <c r="BS27" s="17">
        <v>0</v>
      </c>
      <c r="BT27" s="17">
        <v>0</v>
      </c>
      <c r="BU27" s="17">
        <v>0</v>
      </c>
      <c r="BV27" s="17">
        <v>0</v>
      </c>
      <c r="BW27" s="17">
        <v>0</v>
      </c>
      <c r="BX27" s="17">
        <v>0</v>
      </c>
      <c r="BY27" s="17">
        <v>0</v>
      </c>
      <c r="BZ27" s="17">
        <v>0</v>
      </c>
      <c r="CA27" s="17">
        <v>0</v>
      </c>
      <c r="CB27" s="17">
        <v>0</v>
      </c>
      <c r="CC27" s="17">
        <v>0</v>
      </c>
      <c r="CD27" s="17">
        <v>0</v>
      </c>
      <c r="CE27" s="17">
        <v>0</v>
      </c>
      <c r="CF27" s="17">
        <v>0</v>
      </c>
      <c r="CG27" s="17">
        <v>0</v>
      </c>
      <c r="CH27" s="17">
        <v>0</v>
      </c>
      <c r="CI27" s="17">
        <v>0</v>
      </c>
      <c r="CJ27" s="17">
        <v>0</v>
      </c>
      <c r="CK27" s="18">
        <v>0</v>
      </c>
    </row>
    <row r="28" spans="1:89">
      <c r="A28" s="5" t="s">
        <v>7</v>
      </c>
      <c r="B28" s="44" t="s">
        <v>8</v>
      </c>
      <c r="C28" s="6" t="s">
        <v>21</v>
      </c>
      <c r="D28" s="5">
        <v>13</v>
      </c>
      <c r="E28" s="31">
        <v>0.13922868503007252</v>
      </c>
      <c r="F28" s="38">
        <f t="shared" si="2"/>
        <v>0</v>
      </c>
      <c r="J28" s="44">
        <v>13</v>
      </c>
      <c r="K28" s="54">
        <v>0</v>
      </c>
      <c r="L28" s="17">
        <f t="shared" si="0"/>
        <v>0</v>
      </c>
      <c r="M28" s="52">
        <f t="shared" si="3"/>
        <v>0</v>
      </c>
      <c r="N28" s="18">
        <f t="shared" si="1"/>
        <v>0</v>
      </c>
      <c r="Q28" s="57">
        <v>2.6491511711004002E-5</v>
      </c>
      <c r="R28" s="60">
        <v>8.1705411273216302E-2</v>
      </c>
      <c r="S28" s="16">
        <v>3</v>
      </c>
      <c r="T28" s="17">
        <v>10</v>
      </c>
      <c r="U28" s="18">
        <v>0.2</v>
      </c>
      <c r="W28" s="16">
        <v>0</v>
      </c>
      <c r="X28" s="17">
        <v>1</v>
      </c>
      <c r="Y28" s="17">
        <v>0</v>
      </c>
      <c r="Z28" s="17">
        <v>0</v>
      </c>
      <c r="AA28" s="17">
        <v>0</v>
      </c>
      <c r="AB28" s="17">
        <v>0</v>
      </c>
      <c r="AC28" s="17">
        <v>0</v>
      </c>
      <c r="AD28" s="17">
        <v>0</v>
      </c>
      <c r="AE28" s="17">
        <v>0</v>
      </c>
      <c r="AF28" s="17">
        <v>0</v>
      </c>
      <c r="AG28" s="18">
        <v>0</v>
      </c>
      <c r="AI28" s="16">
        <v>0</v>
      </c>
      <c r="AJ28" s="17">
        <v>1</v>
      </c>
      <c r="AK28" s="17">
        <v>0</v>
      </c>
      <c r="AL28" s="17">
        <v>0</v>
      </c>
      <c r="AM28" s="17">
        <v>0</v>
      </c>
      <c r="AN28" s="17">
        <v>0</v>
      </c>
      <c r="AO28" s="17">
        <v>0</v>
      </c>
      <c r="AP28" s="17">
        <v>0</v>
      </c>
      <c r="AQ28" s="17">
        <v>0</v>
      </c>
      <c r="AR28" s="17">
        <v>0</v>
      </c>
      <c r="AS28" s="17">
        <v>0</v>
      </c>
      <c r="AT28" s="17">
        <v>0</v>
      </c>
      <c r="AU28" s="17">
        <v>0</v>
      </c>
      <c r="AV28" s="17">
        <v>0</v>
      </c>
      <c r="AW28" s="17">
        <v>0</v>
      </c>
      <c r="AX28" s="17">
        <v>0</v>
      </c>
      <c r="AY28" s="17">
        <v>0</v>
      </c>
      <c r="AZ28" s="17">
        <v>0</v>
      </c>
      <c r="BA28" s="17">
        <v>0</v>
      </c>
      <c r="BB28" s="17">
        <v>0</v>
      </c>
      <c r="BC28" s="17">
        <v>0</v>
      </c>
      <c r="BD28" s="17">
        <v>0</v>
      </c>
      <c r="BE28" s="17">
        <v>0</v>
      </c>
      <c r="BF28" s="17">
        <v>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7">
        <v>0</v>
      </c>
      <c r="BN28" s="17">
        <v>0</v>
      </c>
      <c r="BO28" s="17">
        <v>0</v>
      </c>
      <c r="BP28" s="17">
        <v>0</v>
      </c>
      <c r="BQ28" s="17">
        <v>0</v>
      </c>
      <c r="BR28" s="17">
        <v>0</v>
      </c>
      <c r="BS28" s="17">
        <v>0</v>
      </c>
      <c r="BT28" s="17">
        <v>0</v>
      </c>
      <c r="BU28" s="17">
        <v>0</v>
      </c>
      <c r="BV28" s="17">
        <v>0</v>
      </c>
      <c r="BW28" s="17">
        <v>0</v>
      </c>
      <c r="BX28" s="17">
        <v>0</v>
      </c>
      <c r="BY28" s="17">
        <v>0</v>
      </c>
      <c r="BZ28" s="17">
        <v>0</v>
      </c>
      <c r="CA28" s="17">
        <v>0</v>
      </c>
      <c r="CB28" s="17">
        <v>0</v>
      </c>
      <c r="CC28" s="17">
        <v>0</v>
      </c>
      <c r="CD28" s="17">
        <v>0</v>
      </c>
      <c r="CE28" s="17">
        <v>0</v>
      </c>
      <c r="CF28" s="17">
        <v>0</v>
      </c>
      <c r="CG28" s="17">
        <v>0</v>
      </c>
      <c r="CH28" s="17">
        <v>0</v>
      </c>
      <c r="CI28" s="17">
        <v>0</v>
      </c>
      <c r="CJ28" s="17">
        <v>0</v>
      </c>
      <c r="CK28" s="18">
        <v>0</v>
      </c>
    </row>
    <row r="29" spans="1:89">
      <c r="A29" s="5" t="s">
        <v>7</v>
      </c>
      <c r="B29" s="44" t="s">
        <v>8</v>
      </c>
      <c r="C29" s="6" t="s">
        <v>22</v>
      </c>
      <c r="D29" s="5">
        <v>14</v>
      </c>
      <c r="E29" s="31">
        <v>0.1409979096544996</v>
      </c>
      <c r="F29" s="38">
        <f t="shared" si="2"/>
        <v>0</v>
      </c>
      <c r="J29" s="44">
        <v>14</v>
      </c>
      <c r="K29" s="54">
        <v>0</v>
      </c>
      <c r="L29" s="17">
        <f t="shared" si="0"/>
        <v>0</v>
      </c>
      <c r="M29" s="52">
        <f t="shared" si="3"/>
        <v>0</v>
      </c>
      <c r="N29" s="18">
        <f t="shared" si="1"/>
        <v>0</v>
      </c>
      <c r="Q29" s="56">
        <v>-8.2909049768125503E-4</v>
      </c>
      <c r="R29" s="60">
        <v>8.3468837044596303E-2</v>
      </c>
      <c r="S29" s="16">
        <v>3</v>
      </c>
      <c r="T29" s="17">
        <v>13</v>
      </c>
      <c r="U29" s="18">
        <v>0.2</v>
      </c>
      <c r="W29" s="16">
        <v>0</v>
      </c>
      <c r="X29" s="17">
        <v>1</v>
      </c>
      <c r="Y29" s="17">
        <v>0</v>
      </c>
      <c r="Z29" s="17">
        <v>0</v>
      </c>
      <c r="AA29" s="17">
        <v>0</v>
      </c>
      <c r="AB29" s="17">
        <v>0</v>
      </c>
      <c r="AC29" s="17">
        <v>0</v>
      </c>
      <c r="AD29" s="17">
        <v>0</v>
      </c>
      <c r="AE29" s="17">
        <v>0</v>
      </c>
      <c r="AF29" s="17">
        <v>0</v>
      </c>
      <c r="AG29" s="18">
        <v>0</v>
      </c>
      <c r="AI29" s="16">
        <v>0</v>
      </c>
      <c r="AJ29" s="17">
        <v>1</v>
      </c>
      <c r="AK29" s="17">
        <v>0</v>
      </c>
      <c r="AL29" s="17">
        <v>0</v>
      </c>
      <c r="AM29" s="17">
        <v>0</v>
      </c>
      <c r="AN29" s="17">
        <v>0</v>
      </c>
      <c r="AO29" s="17">
        <v>0</v>
      </c>
      <c r="AP29" s="17">
        <v>0</v>
      </c>
      <c r="AQ29" s="17">
        <v>0</v>
      </c>
      <c r="AR29" s="17">
        <v>0</v>
      </c>
      <c r="AS29" s="17">
        <v>0</v>
      </c>
      <c r="AT29" s="17">
        <v>0</v>
      </c>
      <c r="AU29" s="17">
        <v>0</v>
      </c>
      <c r="AV29" s="17">
        <v>0</v>
      </c>
      <c r="AW29" s="17">
        <v>0</v>
      </c>
      <c r="AX29" s="17">
        <v>0</v>
      </c>
      <c r="AY29" s="17">
        <v>0</v>
      </c>
      <c r="AZ29" s="17">
        <v>0</v>
      </c>
      <c r="BA29" s="17">
        <v>0</v>
      </c>
      <c r="BB29" s="17">
        <v>0</v>
      </c>
      <c r="BC29" s="17">
        <v>0</v>
      </c>
      <c r="BD29" s="17">
        <v>0</v>
      </c>
      <c r="BE29" s="17">
        <v>0</v>
      </c>
      <c r="BF29" s="17">
        <v>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7">
        <v>0</v>
      </c>
      <c r="BM29" s="17">
        <v>0</v>
      </c>
      <c r="BN29" s="17">
        <v>0</v>
      </c>
      <c r="BO29" s="17">
        <v>0</v>
      </c>
      <c r="BP29" s="17">
        <v>0</v>
      </c>
      <c r="BQ29" s="17">
        <v>0</v>
      </c>
      <c r="BR29" s="17">
        <v>0</v>
      </c>
      <c r="BS29" s="17">
        <v>0</v>
      </c>
      <c r="BT29" s="17">
        <v>0</v>
      </c>
      <c r="BU29" s="17">
        <v>0</v>
      </c>
      <c r="BV29" s="17">
        <v>0</v>
      </c>
      <c r="BW29" s="17">
        <v>0</v>
      </c>
      <c r="BX29" s="17">
        <v>0</v>
      </c>
      <c r="BY29" s="17">
        <v>0</v>
      </c>
      <c r="BZ29" s="17">
        <v>0</v>
      </c>
      <c r="CA29" s="17">
        <v>0</v>
      </c>
      <c r="CB29" s="17">
        <v>0</v>
      </c>
      <c r="CC29" s="17">
        <v>0</v>
      </c>
      <c r="CD29" s="17">
        <v>0</v>
      </c>
      <c r="CE29" s="17">
        <v>0</v>
      </c>
      <c r="CF29" s="17">
        <v>0</v>
      </c>
      <c r="CG29" s="17">
        <v>0</v>
      </c>
      <c r="CH29" s="17">
        <v>0</v>
      </c>
      <c r="CI29" s="17">
        <v>0</v>
      </c>
      <c r="CJ29" s="17">
        <v>0</v>
      </c>
      <c r="CK29" s="18">
        <v>0</v>
      </c>
    </row>
    <row r="30" spans="1:89">
      <c r="A30" s="5" t="s">
        <v>23</v>
      </c>
      <c r="B30" s="44" t="s">
        <v>24</v>
      </c>
      <c r="C30" s="6" t="s">
        <v>25</v>
      </c>
      <c r="D30" s="5">
        <v>15</v>
      </c>
      <c r="E30" s="31">
        <v>0.15968905237478448</v>
      </c>
      <c r="F30" s="38">
        <f t="shared" si="2"/>
        <v>1453.3578562176726</v>
      </c>
      <c r="J30" s="44">
        <v>15</v>
      </c>
      <c r="K30" s="54">
        <v>0</v>
      </c>
      <c r="L30" s="17">
        <f t="shared" si="0"/>
        <v>0</v>
      </c>
      <c r="M30" s="52">
        <f t="shared" si="3"/>
        <v>0</v>
      </c>
      <c r="N30" s="18">
        <f t="shared" si="1"/>
        <v>0</v>
      </c>
      <c r="Q30" s="56">
        <v>1.1342657462340501E-4</v>
      </c>
      <c r="R30" s="60">
        <v>4.2865636934222198E-2</v>
      </c>
      <c r="S30" s="16">
        <v>4</v>
      </c>
      <c r="T30" s="17">
        <v>2</v>
      </c>
      <c r="U30" s="18">
        <v>0.2</v>
      </c>
      <c r="W30" s="16">
        <v>0</v>
      </c>
      <c r="X30" s="17">
        <v>0</v>
      </c>
      <c r="Y30" s="17">
        <v>1</v>
      </c>
      <c r="Z30" s="17">
        <v>0</v>
      </c>
      <c r="AA30" s="17">
        <v>0</v>
      </c>
      <c r="AB30" s="17">
        <v>0</v>
      </c>
      <c r="AC30" s="17">
        <v>0</v>
      </c>
      <c r="AD30" s="17">
        <v>0</v>
      </c>
      <c r="AE30" s="17">
        <v>0</v>
      </c>
      <c r="AF30" s="17">
        <v>0</v>
      </c>
      <c r="AG30" s="18">
        <v>0</v>
      </c>
      <c r="AI30" s="16">
        <v>0</v>
      </c>
      <c r="AJ30" s="17">
        <v>0</v>
      </c>
      <c r="AK30" s="17">
        <v>1</v>
      </c>
      <c r="AL30" s="17">
        <v>0</v>
      </c>
      <c r="AM30" s="17">
        <v>0</v>
      </c>
      <c r="AN30" s="17">
        <v>0</v>
      </c>
      <c r="AO30" s="17">
        <v>0</v>
      </c>
      <c r="AP30" s="17">
        <v>0</v>
      </c>
      <c r="AQ30" s="17">
        <v>0</v>
      </c>
      <c r="AR30" s="17">
        <v>0</v>
      </c>
      <c r="AS30" s="17">
        <v>0</v>
      </c>
      <c r="AT30" s="17">
        <v>0</v>
      </c>
      <c r="AU30" s="17">
        <v>0</v>
      </c>
      <c r="AV30" s="17">
        <v>0</v>
      </c>
      <c r="AW30" s="17">
        <v>0</v>
      </c>
      <c r="AX30" s="17">
        <v>0</v>
      </c>
      <c r="AY30" s="17">
        <v>0</v>
      </c>
      <c r="AZ30" s="17">
        <v>0</v>
      </c>
      <c r="BA30" s="17">
        <v>0</v>
      </c>
      <c r="BB30" s="17">
        <v>0</v>
      </c>
      <c r="BC30" s="17">
        <v>0</v>
      </c>
      <c r="BD30" s="17">
        <v>0</v>
      </c>
      <c r="BE30" s="17">
        <v>0</v>
      </c>
      <c r="BF30" s="17">
        <v>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7">
        <v>0</v>
      </c>
      <c r="BN30" s="17">
        <v>0</v>
      </c>
      <c r="BO30" s="17">
        <v>0</v>
      </c>
      <c r="BP30" s="17">
        <v>0</v>
      </c>
      <c r="BQ30" s="17">
        <v>0</v>
      </c>
      <c r="BR30" s="17">
        <v>0</v>
      </c>
      <c r="BS30" s="17">
        <v>0</v>
      </c>
      <c r="BT30" s="17">
        <v>0</v>
      </c>
      <c r="BU30" s="17">
        <v>0</v>
      </c>
      <c r="BV30" s="17">
        <v>0</v>
      </c>
      <c r="BW30" s="17">
        <v>0</v>
      </c>
      <c r="BX30" s="17">
        <v>0</v>
      </c>
      <c r="BY30" s="17">
        <v>0</v>
      </c>
      <c r="BZ30" s="17">
        <v>0</v>
      </c>
      <c r="CA30" s="17">
        <v>0</v>
      </c>
      <c r="CB30" s="17">
        <v>0</v>
      </c>
      <c r="CC30" s="17">
        <v>0</v>
      </c>
      <c r="CD30" s="17">
        <v>0</v>
      </c>
      <c r="CE30" s="17">
        <v>0</v>
      </c>
      <c r="CF30" s="17">
        <v>0</v>
      </c>
      <c r="CG30" s="17">
        <v>0</v>
      </c>
      <c r="CH30" s="17">
        <v>0</v>
      </c>
      <c r="CI30" s="17">
        <v>0</v>
      </c>
      <c r="CJ30" s="17">
        <v>0</v>
      </c>
      <c r="CK30" s="18">
        <v>0</v>
      </c>
    </row>
    <row r="31" spans="1:89">
      <c r="A31" s="5" t="s">
        <v>23</v>
      </c>
      <c r="B31" s="44" t="s">
        <v>24</v>
      </c>
      <c r="C31" s="6" t="s">
        <v>26</v>
      </c>
      <c r="D31" s="5">
        <v>16</v>
      </c>
      <c r="E31" s="31">
        <v>0.14649366444664674</v>
      </c>
      <c r="F31" s="38">
        <f t="shared" si="2"/>
        <v>0</v>
      </c>
      <c r="J31" s="44">
        <v>16</v>
      </c>
      <c r="K31" s="54">
        <v>0</v>
      </c>
      <c r="L31" s="17">
        <f t="shared" si="0"/>
        <v>0</v>
      </c>
      <c r="M31" s="52">
        <f t="shared" si="3"/>
        <v>0</v>
      </c>
      <c r="N31" s="18">
        <f t="shared" si="1"/>
        <v>0</v>
      </c>
      <c r="Q31" s="57">
        <v>-8.30498677897236E-4</v>
      </c>
      <c r="R31" s="60">
        <v>3.3886229403990102E-2</v>
      </c>
      <c r="S31" s="16">
        <v>4</v>
      </c>
      <c r="T31" s="17">
        <v>3</v>
      </c>
      <c r="U31" s="18">
        <v>0.2</v>
      </c>
      <c r="W31" s="16">
        <v>0</v>
      </c>
      <c r="X31" s="17">
        <v>0</v>
      </c>
      <c r="Y31" s="17">
        <v>1</v>
      </c>
      <c r="Z31" s="17">
        <v>0</v>
      </c>
      <c r="AA31" s="17">
        <v>0</v>
      </c>
      <c r="AB31" s="17">
        <v>0</v>
      </c>
      <c r="AC31" s="17">
        <v>0</v>
      </c>
      <c r="AD31" s="17">
        <v>0</v>
      </c>
      <c r="AE31" s="17">
        <v>0</v>
      </c>
      <c r="AF31" s="17">
        <v>0</v>
      </c>
      <c r="AG31" s="18">
        <v>0</v>
      </c>
      <c r="AI31" s="16">
        <v>0</v>
      </c>
      <c r="AJ31" s="17">
        <v>0</v>
      </c>
      <c r="AK31" s="17">
        <v>1</v>
      </c>
      <c r="AL31" s="17">
        <v>0</v>
      </c>
      <c r="AM31" s="17">
        <v>0</v>
      </c>
      <c r="AN31" s="17">
        <v>0</v>
      </c>
      <c r="AO31" s="17">
        <v>0</v>
      </c>
      <c r="AP31" s="17">
        <v>0</v>
      </c>
      <c r="AQ31" s="17">
        <v>0</v>
      </c>
      <c r="AR31" s="17">
        <v>0</v>
      </c>
      <c r="AS31" s="17">
        <v>0</v>
      </c>
      <c r="AT31" s="17">
        <v>0</v>
      </c>
      <c r="AU31" s="17">
        <v>0</v>
      </c>
      <c r="AV31" s="17">
        <v>0</v>
      </c>
      <c r="AW31" s="17">
        <v>0</v>
      </c>
      <c r="AX31" s="17">
        <v>0</v>
      </c>
      <c r="AY31" s="17">
        <v>0</v>
      </c>
      <c r="AZ31" s="17">
        <v>0</v>
      </c>
      <c r="BA31" s="17">
        <v>0</v>
      </c>
      <c r="BB31" s="17">
        <v>0</v>
      </c>
      <c r="BC31" s="17">
        <v>0</v>
      </c>
      <c r="BD31" s="17">
        <v>0</v>
      </c>
      <c r="BE31" s="17">
        <v>0</v>
      </c>
      <c r="BF31" s="17">
        <v>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7">
        <v>0</v>
      </c>
      <c r="BN31" s="17">
        <v>0</v>
      </c>
      <c r="BO31" s="17">
        <v>0</v>
      </c>
      <c r="BP31" s="17">
        <v>0</v>
      </c>
      <c r="BQ31" s="17">
        <v>0</v>
      </c>
      <c r="BR31" s="17">
        <v>0</v>
      </c>
      <c r="BS31" s="17">
        <v>0</v>
      </c>
      <c r="BT31" s="17">
        <v>0</v>
      </c>
      <c r="BU31" s="17">
        <v>0</v>
      </c>
      <c r="BV31" s="17">
        <v>0</v>
      </c>
      <c r="BW31" s="17">
        <v>0</v>
      </c>
      <c r="BX31" s="17">
        <v>0</v>
      </c>
      <c r="BY31" s="17">
        <v>0</v>
      </c>
      <c r="BZ31" s="17">
        <v>0</v>
      </c>
      <c r="CA31" s="17">
        <v>0</v>
      </c>
      <c r="CB31" s="17">
        <v>0</v>
      </c>
      <c r="CC31" s="17">
        <v>0</v>
      </c>
      <c r="CD31" s="17">
        <v>0</v>
      </c>
      <c r="CE31" s="17">
        <v>0</v>
      </c>
      <c r="CF31" s="17">
        <v>0</v>
      </c>
      <c r="CG31" s="17">
        <v>0</v>
      </c>
      <c r="CH31" s="17">
        <v>0</v>
      </c>
      <c r="CI31" s="17">
        <v>0</v>
      </c>
      <c r="CJ31" s="17">
        <v>0</v>
      </c>
      <c r="CK31" s="18">
        <v>0</v>
      </c>
    </row>
    <row r="32" spans="1:89">
      <c r="A32" s="5" t="s">
        <v>23</v>
      </c>
      <c r="B32" s="44" t="s">
        <v>24</v>
      </c>
      <c r="C32" s="6" t="s">
        <v>27</v>
      </c>
      <c r="D32" s="5">
        <v>17</v>
      </c>
      <c r="E32" s="31">
        <v>0.16151337233344659</v>
      </c>
      <c r="F32" s="38">
        <f t="shared" si="2"/>
        <v>1727.0058500169896</v>
      </c>
      <c r="J32" s="44">
        <v>17</v>
      </c>
      <c r="K32" s="54">
        <v>0</v>
      </c>
      <c r="L32" s="17">
        <f t="shared" si="0"/>
        <v>0</v>
      </c>
      <c r="M32" s="52">
        <f t="shared" si="3"/>
        <v>0</v>
      </c>
      <c r="N32" s="18">
        <f t="shared" si="1"/>
        <v>0</v>
      </c>
      <c r="Q32" s="56">
        <v>-4.7377760489481001E-4</v>
      </c>
      <c r="R32" s="60">
        <v>4.7198766111000302E-2</v>
      </c>
      <c r="S32" s="16">
        <v>4</v>
      </c>
      <c r="T32" s="17">
        <v>5</v>
      </c>
      <c r="U32" s="18">
        <v>0.2</v>
      </c>
      <c r="W32" s="16">
        <v>0</v>
      </c>
      <c r="X32" s="17">
        <v>0</v>
      </c>
      <c r="Y32" s="17">
        <v>1</v>
      </c>
      <c r="Z32" s="17">
        <v>0</v>
      </c>
      <c r="AA32" s="17">
        <v>0</v>
      </c>
      <c r="AB32" s="17">
        <v>0</v>
      </c>
      <c r="AC32" s="17">
        <v>0</v>
      </c>
      <c r="AD32" s="17">
        <v>0</v>
      </c>
      <c r="AE32" s="17">
        <v>0</v>
      </c>
      <c r="AF32" s="17">
        <v>0</v>
      </c>
      <c r="AG32" s="18">
        <v>0</v>
      </c>
      <c r="AI32" s="16">
        <v>0</v>
      </c>
      <c r="AJ32" s="17">
        <v>0</v>
      </c>
      <c r="AK32" s="17">
        <v>1</v>
      </c>
      <c r="AL32" s="17">
        <v>0</v>
      </c>
      <c r="AM32" s="17">
        <v>0</v>
      </c>
      <c r="AN32" s="17">
        <v>0</v>
      </c>
      <c r="AO32" s="17">
        <v>0</v>
      </c>
      <c r="AP32" s="17">
        <v>0</v>
      </c>
      <c r="AQ32" s="17">
        <v>0</v>
      </c>
      <c r="AR32" s="17">
        <v>0</v>
      </c>
      <c r="AS32" s="17">
        <v>0</v>
      </c>
      <c r="AT32" s="17">
        <v>0</v>
      </c>
      <c r="AU32" s="17">
        <v>0</v>
      </c>
      <c r="AV32" s="17">
        <v>0</v>
      </c>
      <c r="AW32" s="17">
        <v>0</v>
      </c>
      <c r="AX32" s="17">
        <v>0</v>
      </c>
      <c r="AY32" s="17">
        <v>0</v>
      </c>
      <c r="AZ32" s="17">
        <v>0</v>
      </c>
      <c r="BA32" s="17">
        <v>0</v>
      </c>
      <c r="BB32" s="17">
        <v>0</v>
      </c>
      <c r="BC32" s="17">
        <v>0</v>
      </c>
      <c r="BD32" s="17">
        <v>0</v>
      </c>
      <c r="BE32" s="17">
        <v>0</v>
      </c>
      <c r="BF32" s="17">
        <v>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7">
        <v>0</v>
      </c>
      <c r="BN32" s="17">
        <v>0</v>
      </c>
      <c r="BO32" s="17">
        <v>0</v>
      </c>
      <c r="BP32" s="17">
        <v>0</v>
      </c>
      <c r="BQ32" s="17">
        <v>0</v>
      </c>
      <c r="BR32" s="17">
        <v>0</v>
      </c>
      <c r="BS32" s="17">
        <v>0</v>
      </c>
      <c r="BT32" s="17">
        <v>0</v>
      </c>
      <c r="BU32" s="17">
        <v>0</v>
      </c>
      <c r="BV32" s="17">
        <v>0</v>
      </c>
      <c r="BW32" s="17">
        <v>0</v>
      </c>
      <c r="BX32" s="17">
        <v>0</v>
      </c>
      <c r="BY32" s="17">
        <v>0</v>
      </c>
      <c r="BZ32" s="17">
        <v>0</v>
      </c>
      <c r="CA32" s="17">
        <v>0</v>
      </c>
      <c r="CB32" s="17">
        <v>0</v>
      </c>
      <c r="CC32" s="17">
        <v>0</v>
      </c>
      <c r="CD32" s="17">
        <v>0</v>
      </c>
      <c r="CE32" s="17">
        <v>0</v>
      </c>
      <c r="CF32" s="17">
        <v>0</v>
      </c>
      <c r="CG32" s="17">
        <v>0</v>
      </c>
      <c r="CH32" s="17">
        <v>0</v>
      </c>
      <c r="CI32" s="17">
        <v>0</v>
      </c>
      <c r="CJ32" s="17">
        <v>0</v>
      </c>
      <c r="CK32" s="18">
        <v>0</v>
      </c>
    </row>
    <row r="33" spans="1:89">
      <c r="A33" s="5" t="s">
        <v>23</v>
      </c>
      <c r="B33" s="44" t="s">
        <v>24</v>
      </c>
      <c r="C33" s="6" t="s">
        <v>28</v>
      </c>
      <c r="D33" s="5">
        <v>18</v>
      </c>
      <c r="E33" s="31">
        <v>0.15709688059491528</v>
      </c>
      <c r="F33" s="38">
        <f t="shared" si="2"/>
        <v>1064.5320892372924</v>
      </c>
      <c r="J33" s="44">
        <v>18</v>
      </c>
      <c r="K33" s="54">
        <v>0</v>
      </c>
      <c r="L33" s="17">
        <f t="shared" si="0"/>
        <v>0</v>
      </c>
      <c r="M33" s="52">
        <f t="shared" si="3"/>
        <v>0</v>
      </c>
      <c r="N33" s="18">
        <f t="shared" si="1"/>
        <v>0</v>
      </c>
      <c r="Q33" s="56">
        <v>-3.4578665701253601E-3</v>
      </c>
      <c r="R33" s="60">
        <v>3.9506301001534003E-2</v>
      </c>
      <c r="S33" s="16">
        <v>4</v>
      </c>
      <c r="T33" s="17">
        <v>9</v>
      </c>
      <c r="U33" s="18">
        <v>0.2</v>
      </c>
      <c r="W33" s="16">
        <v>0</v>
      </c>
      <c r="X33" s="17">
        <v>0</v>
      </c>
      <c r="Y33" s="17">
        <v>1</v>
      </c>
      <c r="Z33" s="17">
        <v>0</v>
      </c>
      <c r="AA33" s="17">
        <v>0</v>
      </c>
      <c r="AB33" s="17">
        <v>0</v>
      </c>
      <c r="AC33" s="17">
        <v>0</v>
      </c>
      <c r="AD33" s="17">
        <v>0</v>
      </c>
      <c r="AE33" s="17">
        <v>0</v>
      </c>
      <c r="AF33" s="17">
        <v>0</v>
      </c>
      <c r="AG33" s="18">
        <v>0</v>
      </c>
      <c r="AI33" s="16">
        <v>0</v>
      </c>
      <c r="AJ33" s="17">
        <v>0</v>
      </c>
      <c r="AK33" s="17">
        <v>1</v>
      </c>
      <c r="AL33" s="17">
        <v>0</v>
      </c>
      <c r="AM33" s="17">
        <v>0</v>
      </c>
      <c r="AN33" s="17">
        <v>0</v>
      </c>
      <c r="AO33" s="17">
        <v>0</v>
      </c>
      <c r="AP33" s="17">
        <v>0</v>
      </c>
      <c r="AQ33" s="17">
        <v>0</v>
      </c>
      <c r="AR33" s="17">
        <v>0</v>
      </c>
      <c r="AS33" s="17">
        <v>0</v>
      </c>
      <c r="AT33" s="17">
        <v>0</v>
      </c>
      <c r="AU33" s="17">
        <v>0</v>
      </c>
      <c r="AV33" s="17">
        <v>0</v>
      </c>
      <c r="AW33" s="17">
        <v>0</v>
      </c>
      <c r="AX33" s="17">
        <v>0</v>
      </c>
      <c r="AY33" s="17">
        <v>0</v>
      </c>
      <c r="AZ33" s="17">
        <v>0</v>
      </c>
      <c r="BA33" s="17">
        <v>0</v>
      </c>
      <c r="BB33" s="17">
        <v>0</v>
      </c>
      <c r="BC33" s="17">
        <v>0</v>
      </c>
      <c r="BD33" s="17">
        <v>0</v>
      </c>
      <c r="BE33" s="17">
        <v>0</v>
      </c>
      <c r="BF33" s="17">
        <v>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7">
        <v>0</v>
      </c>
      <c r="BN33" s="17">
        <v>0</v>
      </c>
      <c r="BO33" s="17">
        <v>0</v>
      </c>
      <c r="BP33" s="17">
        <v>0</v>
      </c>
      <c r="BQ33" s="17">
        <v>0</v>
      </c>
      <c r="BR33" s="17">
        <v>0</v>
      </c>
      <c r="BS33" s="17">
        <v>0</v>
      </c>
      <c r="BT33" s="17">
        <v>0</v>
      </c>
      <c r="BU33" s="17">
        <v>0</v>
      </c>
      <c r="BV33" s="17">
        <v>0</v>
      </c>
      <c r="BW33" s="17">
        <v>0</v>
      </c>
      <c r="BX33" s="17">
        <v>0</v>
      </c>
      <c r="BY33" s="17">
        <v>0</v>
      </c>
      <c r="BZ33" s="17">
        <v>0</v>
      </c>
      <c r="CA33" s="17">
        <v>0</v>
      </c>
      <c r="CB33" s="17">
        <v>0</v>
      </c>
      <c r="CC33" s="17">
        <v>0</v>
      </c>
      <c r="CD33" s="17">
        <v>0</v>
      </c>
      <c r="CE33" s="17">
        <v>0</v>
      </c>
      <c r="CF33" s="17">
        <v>0</v>
      </c>
      <c r="CG33" s="17">
        <v>0</v>
      </c>
      <c r="CH33" s="17">
        <v>0</v>
      </c>
      <c r="CI33" s="17">
        <v>0</v>
      </c>
      <c r="CJ33" s="17">
        <v>0</v>
      </c>
      <c r="CK33" s="18">
        <v>0</v>
      </c>
    </row>
    <row r="34" spans="1:89">
      <c r="A34" s="5" t="s">
        <v>23</v>
      </c>
      <c r="B34" s="44" t="s">
        <v>24</v>
      </c>
      <c r="C34" s="6" t="s">
        <v>29</v>
      </c>
      <c r="D34" s="5">
        <v>19</v>
      </c>
      <c r="E34" s="31">
        <v>0.1619923767168438</v>
      </c>
      <c r="F34" s="38">
        <f t="shared" si="2"/>
        <v>1798.8565075265708</v>
      </c>
      <c r="J34" s="44">
        <v>19</v>
      </c>
      <c r="K34" s="54">
        <v>0</v>
      </c>
      <c r="L34" s="17">
        <f t="shared" si="0"/>
        <v>0</v>
      </c>
      <c r="M34" s="52">
        <f t="shared" si="3"/>
        <v>0</v>
      </c>
      <c r="N34" s="18">
        <f t="shared" si="1"/>
        <v>0</v>
      </c>
      <c r="Q34" s="56">
        <v>-6.0497618969830797E-4</v>
      </c>
      <c r="R34" s="60">
        <v>4.9943679136676897E-2</v>
      </c>
      <c r="S34" s="16">
        <v>4</v>
      </c>
      <c r="T34" s="17">
        <v>10</v>
      </c>
      <c r="U34" s="18">
        <v>0.2</v>
      </c>
      <c r="W34" s="16">
        <v>0</v>
      </c>
      <c r="X34" s="17">
        <v>0</v>
      </c>
      <c r="Y34" s="17">
        <v>1</v>
      </c>
      <c r="Z34" s="17">
        <v>0</v>
      </c>
      <c r="AA34" s="17">
        <v>0</v>
      </c>
      <c r="AB34" s="17">
        <v>0</v>
      </c>
      <c r="AC34" s="17">
        <v>0</v>
      </c>
      <c r="AD34" s="17">
        <v>0</v>
      </c>
      <c r="AE34" s="17">
        <v>0</v>
      </c>
      <c r="AF34" s="17">
        <v>0</v>
      </c>
      <c r="AG34" s="18">
        <v>0</v>
      </c>
      <c r="AI34" s="16">
        <v>0</v>
      </c>
      <c r="AJ34" s="17">
        <v>0</v>
      </c>
      <c r="AK34" s="17">
        <v>1</v>
      </c>
      <c r="AL34" s="17">
        <v>0</v>
      </c>
      <c r="AM34" s="17">
        <v>0</v>
      </c>
      <c r="AN34" s="17">
        <v>0</v>
      </c>
      <c r="AO34" s="17">
        <v>0</v>
      </c>
      <c r="AP34" s="17">
        <v>0</v>
      </c>
      <c r="AQ34" s="17">
        <v>0</v>
      </c>
      <c r="AR34" s="17">
        <v>0</v>
      </c>
      <c r="AS34" s="17">
        <v>0</v>
      </c>
      <c r="AT34" s="17">
        <v>0</v>
      </c>
      <c r="AU34" s="17">
        <v>0</v>
      </c>
      <c r="AV34" s="17">
        <v>0</v>
      </c>
      <c r="AW34" s="17">
        <v>0</v>
      </c>
      <c r="AX34" s="17">
        <v>0</v>
      </c>
      <c r="AY34" s="17">
        <v>0</v>
      </c>
      <c r="AZ34" s="17">
        <v>0</v>
      </c>
      <c r="BA34" s="17">
        <v>0</v>
      </c>
      <c r="BB34" s="17">
        <v>0</v>
      </c>
      <c r="BC34" s="17">
        <v>0</v>
      </c>
      <c r="BD34" s="17">
        <v>0</v>
      </c>
      <c r="BE34" s="17">
        <v>0</v>
      </c>
      <c r="BF34" s="17">
        <v>0</v>
      </c>
      <c r="BG34" s="17">
        <v>0</v>
      </c>
      <c r="BH34" s="17">
        <v>0</v>
      </c>
      <c r="BI34" s="17">
        <v>0</v>
      </c>
      <c r="BJ34" s="17">
        <v>0</v>
      </c>
      <c r="BK34" s="17">
        <v>0</v>
      </c>
      <c r="BL34" s="17">
        <v>0</v>
      </c>
      <c r="BM34" s="17">
        <v>0</v>
      </c>
      <c r="BN34" s="17">
        <v>0</v>
      </c>
      <c r="BO34" s="17">
        <v>0</v>
      </c>
      <c r="BP34" s="17">
        <v>0</v>
      </c>
      <c r="BQ34" s="17">
        <v>0</v>
      </c>
      <c r="BR34" s="17">
        <v>0</v>
      </c>
      <c r="BS34" s="17">
        <v>0</v>
      </c>
      <c r="BT34" s="17">
        <v>0</v>
      </c>
      <c r="BU34" s="17">
        <v>0</v>
      </c>
      <c r="BV34" s="17">
        <v>0</v>
      </c>
      <c r="BW34" s="17">
        <v>0</v>
      </c>
      <c r="BX34" s="17">
        <v>0</v>
      </c>
      <c r="BY34" s="17">
        <v>0</v>
      </c>
      <c r="BZ34" s="17">
        <v>0</v>
      </c>
      <c r="CA34" s="17">
        <v>0</v>
      </c>
      <c r="CB34" s="17">
        <v>0</v>
      </c>
      <c r="CC34" s="17">
        <v>0</v>
      </c>
      <c r="CD34" s="17">
        <v>0</v>
      </c>
      <c r="CE34" s="17">
        <v>0</v>
      </c>
      <c r="CF34" s="17">
        <v>0</v>
      </c>
      <c r="CG34" s="17">
        <v>0</v>
      </c>
      <c r="CH34" s="17">
        <v>0</v>
      </c>
      <c r="CI34" s="17">
        <v>0</v>
      </c>
      <c r="CJ34" s="17">
        <v>0</v>
      </c>
      <c r="CK34" s="18">
        <v>0</v>
      </c>
    </row>
    <row r="35" spans="1:89">
      <c r="A35" s="5" t="s">
        <v>23</v>
      </c>
      <c r="B35" s="44" t="s">
        <v>24</v>
      </c>
      <c r="C35" s="6" t="s">
        <v>30</v>
      </c>
      <c r="D35" s="5">
        <v>20</v>
      </c>
      <c r="E35" s="31">
        <v>0.15906066693909282</v>
      </c>
      <c r="F35" s="38">
        <f t="shared" si="2"/>
        <v>1359.1000408639241</v>
      </c>
      <c r="J35" s="44">
        <v>20</v>
      </c>
      <c r="K35" s="54">
        <v>0</v>
      </c>
      <c r="L35" s="17">
        <f t="shared" si="0"/>
        <v>0</v>
      </c>
      <c r="M35" s="52">
        <f t="shared" si="3"/>
        <v>0</v>
      </c>
      <c r="N35" s="18">
        <f t="shared" si="1"/>
        <v>0</v>
      </c>
      <c r="Q35" s="56">
        <v>-4.0746491275068502E-3</v>
      </c>
      <c r="R35" s="60">
        <v>4.1574122163332297E-2</v>
      </c>
      <c r="S35" s="16">
        <v>5</v>
      </c>
      <c r="T35" s="17">
        <v>1</v>
      </c>
      <c r="U35" s="18">
        <v>0.2</v>
      </c>
      <c r="W35" s="16">
        <v>0</v>
      </c>
      <c r="X35" s="17">
        <v>0</v>
      </c>
      <c r="Y35" s="17">
        <v>1</v>
      </c>
      <c r="Z35" s="17">
        <v>0</v>
      </c>
      <c r="AA35" s="17">
        <v>0</v>
      </c>
      <c r="AB35" s="17">
        <v>0</v>
      </c>
      <c r="AC35" s="17">
        <v>0</v>
      </c>
      <c r="AD35" s="17">
        <v>0</v>
      </c>
      <c r="AE35" s="17">
        <v>0</v>
      </c>
      <c r="AF35" s="17">
        <v>0</v>
      </c>
      <c r="AG35" s="18">
        <v>0</v>
      </c>
      <c r="AI35" s="16">
        <v>0</v>
      </c>
      <c r="AJ35" s="17">
        <v>0</v>
      </c>
      <c r="AK35" s="17">
        <v>1</v>
      </c>
      <c r="AL35" s="17">
        <v>0</v>
      </c>
      <c r="AM35" s="17">
        <v>0</v>
      </c>
      <c r="AN35" s="17">
        <v>0</v>
      </c>
      <c r="AO35" s="17">
        <v>0</v>
      </c>
      <c r="AP35" s="17">
        <v>0</v>
      </c>
      <c r="AQ35" s="17">
        <v>0</v>
      </c>
      <c r="AR35" s="17">
        <v>0</v>
      </c>
      <c r="AS35" s="17">
        <v>0</v>
      </c>
      <c r="AT35" s="17">
        <v>0</v>
      </c>
      <c r="AU35" s="17">
        <v>0</v>
      </c>
      <c r="AV35" s="17">
        <v>0</v>
      </c>
      <c r="AW35" s="17">
        <v>0</v>
      </c>
      <c r="AX35" s="17">
        <v>0</v>
      </c>
      <c r="AY35" s="17">
        <v>0</v>
      </c>
      <c r="AZ35" s="17">
        <v>0</v>
      </c>
      <c r="BA35" s="17">
        <v>0</v>
      </c>
      <c r="BB35" s="17">
        <v>0</v>
      </c>
      <c r="BC35" s="17">
        <v>0</v>
      </c>
      <c r="BD35" s="17">
        <v>0</v>
      </c>
      <c r="BE35" s="17">
        <v>0</v>
      </c>
      <c r="BF35" s="17">
        <v>0</v>
      </c>
      <c r="BG35" s="17">
        <v>0</v>
      </c>
      <c r="BH35" s="17">
        <v>0</v>
      </c>
      <c r="BI35" s="17">
        <v>0</v>
      </c>
      <c r="BJ35" s="17">
        <v>0</v>
      </c>
      <c r="BK35" s="17">
        <v>0</v>
      </c>
      <c r="BL35" s="17">
        <v>0</v>
      </c>
      <c r="BM35" s="17">
        <v>0</v>
      </c>
      <c r="BN35" s="17">
        <v>0</v>
      </c>
      <c r="BO35" s="17">
        <v>0</v>
      </c>
      <c r="BP35" s="17">
        <v>0</v>
      </c>
      <c r="BQ35" s="17">
        <v>0</v>
      </c>
      <c r="BR35" s="17">
        <v>0</v>
      </c>
      <c r="BS35" s="17">
        <v>0</v>
      </c>
      <c r="BT35" s="17">
        <v>0</v>
      </c>
      <c r="BU35" s="17">
        <v>0</v>
      </c>
      <c r="BV35" s="17">
        <v>0</v>
      </c>
      <c r="BW35" s="17">
        <v>0</v>
      </c>
      <c r="BX35" s="17">
        <v>0</v>
      </c>
      <c r="BY35" s="17">
        <v>0</v>
      </c>
      <c r="BZ35" s="17">
        <v>0</v>
      </c>
      <c r="CA35" s="17">
        <v>0</v>
      </c>
      <c r="CB35" s="17">
        <v>0</v>
      </c>
      <c r="CC35" s="17">
        <v>0</v>
      </c>
      <c r="CD35" s="17">
        <v>0</v>
      </c>
      <c r="CE35" s="17">
        <v>0</v>
      </c>
      <c r="CF35" s="17">
        <v>0</v>
      </c>
      <c r="CG35" s="17">
        <v>0</v>
      </c>
      <c r="CH35" s="17">
        <v>0</v>
      </c>
      <c r="CI35" s="17">
        <v>0</v>
      </c>
      <c r="CJ35" s="17">
        <v>0</v>
      </c>
      <c r="CK35" s="18">
        <v>0</v>
      </c>
    </row>
    <row r="36" spans="1:89">
      <c r="A36" s="5" t="s">
        <v>23</v>
      </c>
      <c r="B36" s="44" t="s">
        <v>24</v>
      </c>
      <c r="C36" s="6" t="s">
        <v>31</v>
      </c>
      <c r="D36" s="5">
        <v>21</v>
      </c>
      <c r="E36" s="31">
        <v>0.16261585793677094</v>
      </c>
      <c r="F36" s="38">
        <f t="shared" si="2"/>
        <v>1892.3786905156419</v>
      </c>
      <c r="J36" s="44">
        <v>21</v>
      </c>
      <c r="K36" s="54">
        <v>0</v>
      </c>
      <c r="L36" s="17">
        <f t="shared" si="0"/>
        <v>0</v>
      </c>
      <c r="M36" s="52">
        <f t="shared" si="3"/>
        <v>0</v>
      </c>
      <c r="N36" s="18">
        <f t="shared" si="1"/>
        <v>0</v>
      </c>
      <c r="Q36" s="56">
        <v>-8.1476174034393796E-4</v>
      </c>
      <c r="R36" s="60">
        <v>4.7720233638968101E-2</v>
      </c>
      <c r="S36" s="16">
        <v>5</v>
      </c>
      <c r="T36" s="17">
        <v>2</v>
      </c>
      <c r="U36" s="18">
        <v>0.2</v>
      </c>
      <c r="W36" s="16">
        <v>0</v>
      </c>
      <c r="X36" s="17">
        <v>0</v>
      </c>
      <c r="Y36" s="17">
        <v>1</v>
      </c>
      <c r="Z36" s="17">
        <v>0</v>
      </c>
      <c r="AA36" s="17">
        <v>0</v>
      </c>
      <c r="AB36" s="17">
        <v>0</v>
      </c>
      <c r="AC36" s="17">
        <v>0</v>
      </c>
      <c r="AD36" s="17">
        <v>0</v>
      </c>
      <c r="AE36" s="17">
        <v>0</v>
      </c>
      <c r="AF36" s="17">
        <v>0</v>
      </c>
      <c r="AG36" s="18">
        <v>0</v>
      </c>
      <c r="AI36" s="16">
        <v>0</v>
      </c>
      <c r="AJ36" s="17">
        <v>0</v>
      </c>
      <c r="AK36" s="17">
        <v>1</v>
      </c>
      <c r="AL36" s="17">
        <v>0</v>
      </c>
      <c r="AM36" s="17">
        <v>0</v>
      </c>
      <c r="AN36" s="17">
        <v>0</v>
      </c>
      <c r="AO36" s="17">
        <v>0</v>
      </c>
      <c r="AP36" s="17">
        <v>0</v>
      </c>
      <c r="AQ36" s="17">
        <v>0</v>
      </c>
      <c r="AR36" s="17">
        <v>0</v>
      </c>
      <c r="AS36" s="17">
        <v>0</v>
      </c>
      <c r="AT36" s="17">
        <v>0</v>
      </c>
      <c r="AU36" s="17">
        <v>0</v>
      </c>
      <c r="AV36" s="17">
        <v>0</v>
      </c>
      <c r="AW36" s="17">
        <v>0</v>
      </c>
      <c r="AX36" s="17">
        <v>0</v>
      </c>
      <c r="AY36" s="17">
        <v>0</v>
      </c>
      <c r="AZ36" s="17">
        <v>0</v>
      </c>
      <c r="BA36" s="17">
        <v>0</v>
      </c>
      <c r="BB36" s="17">
        <v>0</v>
      </c>
      <c r="BC36" s="17">
        <v>0</v>
      </c>
      <c r="BD36" s="17">
        <v>0</v>
      </c>
      <c r="BE36" s="17">
        <v>0</v>
      </c>
      <c r="BF36" s="17">
        <v>0</v>
      </c>
      <c r="BG36" s="17">
        <v>0</v>
      </c>
      <c r="BH36" s="17">
        <v>0</v>
      </c>
      <c r="BI36" s="17">
        <v>0</v>
      </c>
      <c r="BJ36" s="17">
        <v>0</v>
      </c>
      <c r="BK36" s="17">
        <v>0</v>
      </c>
      <c r="BL36" s="17">
        <v>0</v>
      </c>
      <c r="BM36" s="17">
        <v>0</v>
      </c>
      <c r="BN36" s="17">
        <v>0</v>
      </c>
      <c r="BO36" s="17">
        <v>0</v>
      </c>
      <c r="BP36" s="17">
        <v>0</v>
      </c>
      <c r="BQ36" s="17">
        <v>0</v>
      </c>
      <c r="BR36" s="17">
        <v>0</v>
      </c>
      <c r="BS36" s="17">
        <v>0</v>
      </c>
      <c r="BT36" s="17">
        <v>0</v>
      </c>
      <c r="BU36" s="17">
        <v>0</v>
      </c>
      <c r="BV36" s="17">
        <v>0</v>
      </c>
      <c r="BW36" s="17">
        <v>0</v>
      </c>
      <c r="BX36" s="17">
        <v>0</v>
      </c>
      <c r="BY36" s="17">
        <v>0</v>
      </c>
      <c r="BZ36" s="17">
        <v>0</v>
      </c>
      <c r="CA36" s="17">
        <v>0</v>
      </c>
      <c r="CB36" s="17">
        <v>0</v>
      </c>
      <c r="CC36" s="17">
        <v>0</v>
      </c>
      <c r="CD36" s="17">
        <v>0</v>
      </c>
      <c r="CE36" s="17">
        <v>0</v>
      </c>
      <c r="CF36" s="17">
        <v>0</v>
      </c>
      <c r="CG36" s="17">
        <v>0</v>
      </c>
      <c r="CH36" s="17">
        <v>0</v>
      </c>
      <c r="CI36" s="17">
        <v>0</v>
      </c>
      <c r="CJ36" s="17">
        <v>0</v>
      </c>
      <c r="CK36" s="18">
        <v>0</v>
      </c>
    </row>
    <row r="37" spans="1:89">
      <c r="A37" s="5" t="s">
        <v>23</v>
      </c>
      <c r="B37" s="44" t="s">
        <v>24</v>
      </c>
      <c r="C37" s="6" t="s">
        <v>32</v>
      </c>
      <c r="D37" s="5">
        <v>22</v>
      </c>
      <c r="E37" s="31">
        <v>0.15910528937088086</v>
      </c>
      <c r="F37" s="38">
        <f t="shared" si="2"/>
        <v>1365.7934056321305</v>
      </c>
      <c r="J37" s="44">
        <v>22</v>
      </c>
      <c r="K37" s="54">
        <v>0</v>
      </c>
      <c r="L37" s="17">
        <f t="shared" si="0"/>
        <v>0</v>
      </c>
      <c r="M37" s="52">
        <f t="shared" si="3"/>
        <v>0</v>
      </c>
      <c r="N37" s="18">
        <f t="shared" si="1"/>
        <v>0</v>
      </c>
      <c r="Q37" s="57">
        <v>-1.52582767050415E-3</v>
      </c>
      <c r="R37" s="60">
        <v>4.5434276553477503E-2</v>
      </c>
      <c r="S37" s="16">
        <v>5</v>
      </c>
      <c r="T37" s="17">
        <v>4</v>
      </c>
      <c r="U37" s="18">
        <v>0.2</v>
      </c>
      <c r="W37" s="16">
        <v>0</v>
      </c>
      <c r="X37" s="17">
        <v>0</v>
      </c>
      <c r="Y37" s="17">
        <v>1</v>
      </c>
      <c r="Z37" s="17">
        <v>0</v>
      </c>
      <c r="AA37" s="17">
        <v>0</v>
      </c>
      <c r="AB37" s="17">
        <v>0</v>
      </c>
      <c r="AC37" s="17">
        <v>0</v>
      </c>
      <c r="AD37" s="17">
        <v>0</v>
      </c>
      <c r="AE37" s="17">
        <v>0</v>
      </c>
      <c r="AF37" s="17">
        <v>0</v>
      </c>
      <c r="AG37" s="18">
        <v>0</v>
      </c>
      <c r="AI37" s="16">
        <v>0</v>
      </c>
      <c r="AJ37" s="17">
        <v>0</v>
      </c>
      <c r="AK37" s="17">
        <v>1</v>
      </c>
      <c r="AL37" s="17">
        <v>0</v>
      </c>
      <c r="AM37" s="17">
        <v>0</v>
      </c>
      <c r="AN37" s="17">
        <v>0</v>
      </c>
      <c r="AO37" s="17">
        <v>0</v>
      </c>
      <c r="AP37" s="17">
        <v>0</v>
      </c>
      <c r="AQ37" s="17">
        <v>0</v>
      </c>
      <c r="AR37" s="17">
        <v>0</v>
      </c>
      <c r="AS37" s="17">
        <v>0</v>
      </c>
      <c r="AT37" s="17">
        <v>0</v>
      </c>
      <c r="AU37" s="17">
        <v>0</v>
      </c>
      <c r="AV37" s="17">
        <v>0</v>
      </c>
      <c r="AW37" s="17">
        <v>0</v>
      </c>
      <c r="AX37" s="17">
        <v>0</v>
      </c>
      <c r="AY37" s="17">
        <v>0</v>
      </c>
      <c r="AZ37" s="17">
        <v>0</v>
      </c>
      <c r="BA37" s="17">
        <v>0</v>
      </c>
      <c r="BB37" s="17">
        <v>0</v>
      </c>
      <c r="BC37" s="17">
        <v>0</v>
      </c>
      <c r="BD37" s="17">
        <v>0</v>
      </c>
      <c r="BE37" s="17">
        <v>0</v>
      </c>
      <c r="BF37" s="17">
        <v>0</v>
      </c>
      <c r="BG37" s="17">
        <v>0</v>
      </c>
      <c r="BH37" s="17">
        <v>0</v>
      </c>
      <c r="BI37" s="17">
        <v>0</v>
      </c>
      <c r="BJ37" s="17">
        <v>0</v>
      </c>
      <c r="BK37" s="17">
        <v>0</v>
      </c>
      <c r="BL37" s="17">
        <v>0</v>
      </c>
      <c r="BM37" s="17">
        <v>0</v>
      </c>
      <c r="BN37" s="17">
        <v>0</v>
      </c>
      <c r="BO37" s="17">
        <v>0</v>
      </c>
      <c r="BP37" s="17">
        <v>0</v>
      </c>
      <c r="BQ37" s="17">
        <v>0</v>
      </c>
      <c r="BR37" s="17">
        <v>0</v>
      </c>
      <c r="BS37" s="17">
        <v>0</v>
      </c>
      <c r="BT37" s="17">
        <v>0</v>
      </c>
      <c r="BU37" s="17">
        <v>0</v>
      </c>
      <c r="BV37" s="17">
        <v>0</v>
      </c>
      <c r="BW37" s="17">
        <v>0</v>
      </c>
      <c r="BX37" s="17">
        <v>0</v>
      </c>
      <c r="BY37" s="17">
        <v>0</v>
      </c>
      <c r="BZ37" s="17">
        <v>0</v>
      </c>
      <c r="CA37" s="17">
        <v>0</v>
      </c>
      <c r="CB37" s="17">
        <v>0</v>
      </c>
      <c r="CC37" s="17">
        <v>0</v>
      </c>
      <c r="CD37" s="17">
        <v>0</v>
      </c>
      <c r="CE37" s="17">
        <v>0</v>
      </c>
      <c r="CF37" s="17">
        <v>0</v>
      </c>
      <c r="CG37" s="17">
        <v>0</v>
      </c>
      <c r="CH37" s="17">
        <v>0</v>
      </c>
      <c r="CI37" s="17">
        <v>0</v>
      </c>
      <c r="CJ37" s="17">
        <v>0</v>
      </c>
      <c r="CK37" s="18">
        <v>0</v>
      </c>
    </row>
    <row r="38" spans="1:89">
      <c r="A38" s="5" t="s">
        <v>23</v>
      </c>
      <c r="B38" s="44" t="s">
        <v>24</v>
      </c>
      <c r="C38" s="6" t="s">
        <v>33</v>
      </c>
      <c r="D38" s="5">
        <v>23</v>
      </c>
      <c r="E38" s="31">
        <v>0.15673499644700561</v>
      </c>
      <c r="F38" s="38">
        <f t="shared" si="2"/>
        <v>1010.249467050843</v>
      </c>
      <c r="J38" s="44">
        <v>23</v>
      </c>
      <c r="K38" s="54">
        <v>0</v>
      </c>
      <c r="L38" s="17">
        <f t="shared" si="0"/>
        <v>0</v>
      </c>
      <c r="M38" s="52">
        <f t="shared" si="3"/>
        <v>0</v>
      </c>
      <c r="N38" s="18">
        <f t="shared" si="1"/>
        <v>0</v>
      </c>
      <c r="Q38" s="57">
        <v>2.2800757128366799E-5</v>
      </c>
      <c r="R38" s="60">
        <v>4.21890430831229E-2</v>
      </c>
      <c r="S38" s="16">
        <v>5</v>
      </c>
      <c r="T38" s="17">
        <v>9</v>
      </c>
      <c r="U38" s="18">
        <v>0.2</v>
      </c>
      <c r="W38" s="16">
        <v>0</v>
      </c>
      <c r="X38" s="17">
        <v>0</v>
      </c>
      <c r="Y38" s="17">
        <v>1</v>
      </c>
      <c r="Z38" s="17">
        <v>0</v>
      </c>
      <c r="AA38" s="17">
        <v>0</v>
      </c>
      <c r="AB38" s="17">
        <v>0</v>
      </c>
      <c r="AC38" s="17">
        <v>0</v>
      </c>
      <c r="AD38" s="17">
        <v>0</v>
      </c>
      <c r="AE38" s="17">
        <v>0</v>
      </c>
      <c r="AF38" s="17">
        <v>0</v>
      </c>
      <c r="AG38" s="18">
        <v>0</v>
      </c>
      <c r="AI38" s="16">
        <v>0</v>
      </c>
      <c r="AJ38" s="17">
        <v>0</v>
      </c>
      <c r="AK38" s="17">
        <v>1</v>
      </c>
      <c r="AL38" s="17">
        <v>0</v>
      </c>
      <c r="AM38" s="17">
        <v>0</v>
      </c>
      <c r="AN38" s="17">
        <v>0</v>
      </c>
      <c r="AO38" s="17">
        <v>0</v>
      </c>
      <c r="AP38" s="17">
        <v>0</v>
      </c>
      <c r="AQ38" s="17">
        <v>0</v>
      </c>
      <c r="AR38" s="17">
        <v>0</v>
      </c>
      <c r="AS38" s="17">
        <v>0</v>
      </c>
      <c r="AT38" s="17">
        <v>0</v>
      </c>
      <c r="AU38" s="17">
        <v>0</v>
      </c>
      <c r="AV38" s="17">
        <v>0</v>
      </c>
      <c r="AW38" s="17">
        <v>0</v>
      </c>
      <c r="AX38" s="17">
        <v>0</v>
      </c>
      <c r="AY38" s="17">
        <v>0</v>
      </c>
      <c r="AZ38" s="17">
        <v>0</v>
      </c>
      <c r="BA38" s="17">
        <v>0</v>
      </c>
      <c r="BB38" s="17">
        <v>0</v>
      </c>
      <c r="BC38" s="17">
        <v>0</v>
      </c>
      <c r="BD38" s="17">
        <v>0</v>
      </c>
      <c r="BE38" s="17">
        <v>0</v>
      </c>
      <c r="BF38" s="17">
        <v>0</v>
      </c>
      <c r="BG38" s="17">
        <v>0</v>
      </c>
      <c r="BH38" s="17">
        <v>0</v>
      </c>
      <c r="BI38" s="17">
        <v>0</v>
      </c>
      <c r="BJ38" s="17">
        <v>0</v>
      </c>
      <c r="BK38" s="17">
        <v>0</v>
      </c>
      <c r="BL38" s="17">
        <v>0</v>
      </c>
      <c r="BM38" s="17">
        <v>0</v>
      </c>
      <c r="BN38" s="17">
        <v>0</v>
      </c>
      <c r="BO38" s="17">
        <v>0</v>
      </c>
      <c r="BP38" s="17">
        <v>0</v>
      </c>
      <c r="BQ38" s="17">
        <v>0</v>
      </c>
      <c r="BR38" s="17">
        <v>0</v>
      </c>
      <c r="BS38" s="17">
        <v>0</v>
      </c>
      <c r="BT38" s="17">
        <v>0</v>
      </c>
      <c r="BU38" s="17">
        <v>0</v>
      </c>
      <c r="BV38" s="17">
        <v>0</v>
      </c>
      <c r="BW38" s="17">
        <v>0</v>
      </c>
      <c r="BX38" s="17">
        <v>0</v>
      </c>
      <c r="BY38" s="17">
        <v>0</v>
      </c>
      <c r="BZ38" s="17">
        <v>0</v>
      </c>
      <c r="CA38" s="17">
        <v>0</v>
      </c>
      <c r="CB38" s="17">
        <v>0</v>
      </c>
      <c r="CC38" s="17">
        <v>0</v>
      </c>
      <c r="CD38" s="17">
        <v>0</v>
      </c>
      <c r="CE38" s="17">
        <v>0</v>
      </c>
      <c r="CF38" s="17">
        <v>0</v>
      </c>
      <c r="CG38" s="17">
        <v>0</v>
      </c>
      <c r="CH38" s="17">
        <v>0</v>
      </c>
      <c r="CI38" s="17">
        <v>0</v>
      </c>
      <c r="CJ38" s="17">
        <v>0</v>
      </c>
      <c r="CK38" s="18">
        <v>0</v>
      </c>
    </row>
    <row r="39" spans="1:89">
      <c r="A39" s="5" t="s">
        <v>23</v>
      </c>
      <c r="B39" s="44" t="s">
        <v>24</v>
      </c>
      <c r="C39" s="6" t="s">
        <v>34</v>
      </c>
      <c r="D39" s="5">
        <v>24</v>
      </c>
      <c r="E39" s="31">
        <v>0.15094791592426998</v>
      </c>
      <c r="F39" s="38">
        <f t="shared" si="2"/>
        <v>142.18738864049814</v>
      </c>
      <c r="J39" s="44">
        <v>24</v>
      </c>
      <c r="K39" s="54">
        <v>0</v>
      </c>
      <c r="L39" s="17">
        <f t="shared" si="0"/>
        <v>0</v>
      </c>
      <c r="M39" s="52">
        <f t="shared" si="3"/>
        <v>0</v>
      </c>
      <c r="N39" s="18">
        <f t="shared" si="1"/>
        <v>0</v>
      </c>
      <c r="Q39" s="57">
        <v>1.2683134504483899E-4</v>
      </c>
      <c r="R39" s="60">
        <v>3.55029638168982E-2</v>
      </c>
      <c r="S39" s="16">
        <v>5</v>
      </c>
      <c r="T39" s="17">
        <v>10</v>
      </c>
      <c r="U39" s="18">
        <v>0.2</v>
      </c>
      <c r="W39" s="16">
        <v>0</v>
      </c>
      <c r="X39" s="17">
        <v>0</v>
      </c>
      <c r="Y39" s="17">
        <v>1</v>
      </c>
      <c r="Z39" s="17">
        <v>0</v>
      </c>
      <c r="AA39" s="17">
        <v>0</v>
      </c>
      <c r="AB39" s="17">
        <v>0</v>
      </c>
      <c r="AC39" s="17">
        <v>0</v>
      </c>
      <c r="AD39" s="17">
        <v>0</v>
      </c>
      <c r="AE39" s="17">
        <v>0</v>
      </c>
      <c r="AF39" s="17">
        <v>0</v>
      </c>
      <c r="AG39" s="18">
        <v>0</v>
      </c>
      <c r="AI39" s="16">
        <v>0</v>
      </c>
      <c r="AJ39" s="17">
        <v>0</v>
      </c>
      <c r="AK39" s="17">
        <v>1</v>
      </c>
      <c r="AL39" s="17">
        <v>0</v>
      </c>
      <c r="AM39" s="17">
        <v>0</v>
      </c>
      <c r="AN39" s="17">
        <v>0</v>
      </c>
      <c r="AO39" s="17">
        <v>0</v>
      </c>
      <c r="AP39" s="17">
        <v>0</v>
      </c>
      <c r="AQ39" s="17">
        <v>0</v>
      </c>
      <c r="AR39" s="17">
        <v>0</v>
      </c>
      <c r="AS39" s="17">
        <v>0</v>
      </c>
      <c r="AT39" s="17">
        <v>0</v>
      </c>
      <c r="AU39" s="17">
        <v>0</v>
      </c>
      <c r="AV39" s="17">
        <v>0</v>
      </c>
      <c r="AW39" s="17">
        <v>0</v>
      </c>
      <c r="AX39" s="17">
        <v>0</v>
      </c>
      <c r="AY39" s="17">
        <v>0</v>
      </c>
      <c r="AZ39" s="17">
        <v>0</v>
      </c>
      <c r="BA39" s="17">
        <v>0</v>
      </c>
      <c r="BB39" s="17">
        <v>0</v>
      </c>
      <c r="BC39" s="17">
        <v>0</v>
      </c>
      <c r="BD39" s="17">
        <v>0</v>
      </c>
      <c r="BE39" s="17">
        <v>0</v>
      </c>
      <c r="BF39" s="17">
        <v>0</v>
      </c>
      <c r="BG39" s="17">
        <v>0</v>
      </c>
      <c r="BH39" s="17">
        <v>0</v>
      </c>
      <c r="BI39" s="17">
        <v>0</v>
      </c>
      <c r="BJ39" s="17">
        <v>0</v>
      </c>
      <c r="BK39" s="17">
        <v>0</v>
      </c>
      <c r="BL39" s="17">
        <v>0</v>
      </c>
      <c r="BM39" s="17">
        <v>0</v>
      </c>
      <c r="BN39" s="17">
        <v>0</v>
      </c>
      <c r="BO39" s="17">
        <v>0</v>
      </c>
      <c r="BP39" s="17">
        <v>0</v>
      </c>
      <c r="BQ39" s="17">
        <v>0</v>
      </c>
      <c r="BR39" s="17">
        <v>0</v>
      </c>
      <c r="BS39" s="17">
        <v>0</v>
      </c>
      <c r="BT39" s="17">
        <v>0</v>
      </c>
      <c r="BU39" s="17">
        <v>0</v>
      </c>
      <c r="BV39" s="17">
        <v>0</v>
      </c>
      <c r="BW39" s="17">
        <v>0</v>
      </c>
      <c r="BX39" s="17">
        <v>0</v>
      </c>
      <c r="BY39" s="17">
        <v>0</v>
      </c>
      <c r="BZ39" s="17">
        <v>0</v>
      </c>
      <c r="CA39" s="17">
        <v>0</v>
      </c>
      <c r="CB39" s="17">
        <v>0</v>
      </c>
      <c r="CC39" s="17">
        <v>0</v>
      </c>
      <c r="CD39" s="17">
        <v>0</v>
      </c>
      <c r="CE39" s="17">
        <v>0</v>
      </c>
      <c r="CF39" s="17">
        <v>0</v>
      </c>
      <c r="CG39" s="17">
        <v>0</v>
      </c>
      <c r="CH39" s="17">
        <v>0</v>
      </c>
      <c r="CI39" s="17">
        <v>0</v>
      </c>
      <c r="CJ39" s="17">
        <v>0</v>
      </c>
      <c r="CK39" s="18">
        <v>0</v>
      </c>
    </row>
    <row r="40" spans="1:89">
      <c r="A40" s="5" t="s">
        <v>23</v>
      </c>
      <c r="B40" s="44" t="s">
        <v>24</v>
      </c>
      <c r="C40" s="6" t="s">
        <v>35</v>
      </c>
      <c r="D40" s="5">
        <v>25</v>
      </c>
      <c r="E40" s="31">
        <v>0.16290557131042199</v>
      </c>
      <c r="F40" s="38">
        <f t="shared" si="2"/>
        <v>1935.8356965632997</v>
      </c>
      <c r="J40" s="44">
        <v>25</v>
      </c>
      <c r="K40" s="54">
        <v>0</v>
      </c>
      <c r="L40" s="17">
        <f t="shared" si="0"/>
        <v>0</v>
      </c>
      <c r="M40" s="52">
        <f t="shared" si="3"/>
        <v>0</v>
      </c>
      <c r="N40" s="18">
        <f t="shared" si="1"/>
        <v>0</v>
      </c>
      <c r="Q40" s="57">
        <v>4.4464948079557E-5</v>
      </c>
      <c r="R40" s="60">
        <v>4.7980206325949702E-2</v>
      </c>
      <c r="S40" s="16">
        <v>6</v>
      </c>
      <c r="T40" s="17">
        <v>1</v>
      </c>
      <c r="U40" s="18">
        <v>0.33333333333333331</v>
      </c>
      <c r="W40" s="16">
        <v>0</v>
      </c>
      <c r="X40" s="17">
        <v>0</v>
      </c>
      <c r="Y40" s="17">
        <v>1</v>
      </c>
      <c r="Z40" s="17">
        <v>0</v>
      </c>
      <c r="AA40" s="17">
        <v>0</v>
      </c>
      <c r="AB40" s="17">
        <v>0</v>
      </c>
      <c r="AC40" s="17">
        <v>0</v>
      </c>
      <c r="AD40" s="17">
        <v>0</v>
      </c>
      <c r="AE40" s="17">
        <v>0</v>
      </c>
      <c r="AF40" s="17">
        <v>0</v>
      </c>
      <c r="AG40" s="18">
        <v>0</v>
      </c>
      <c r="AI40" s="16">
        <v>0</v>
      </c>
      <c r="AJ40" s="17">
        <v>0</v>
      </c>
      <c r="AK40" s="17">
        <v>1</v>
      </c>
      <c r="AL40" s="17">
        <v>0</v>
      </c>
      <c r="AM40" s="17">
        <v>0</v>
      </c>
      <c r="AN40" s="17">
        <v>0</v>
      </c>
      <c r="AO40" s="17">
        <v>0</v>
      </c>
      <c r="AP40" s="17">
        <v>0</v>
      </c>
      <c r="AQ40" s="17">
        <v>0</v>
      </c>
      <c r="AR40" s="17">
        <v>0</v>
      </c>
      <c r="AS40" s="17">
        <v>0</v>
      </c>
      <c r="AT40" s="17">
        <v>0</v>
      </c>
      <c r="AU40" s="17">
        <v>0</v>
      </c>
      <c r="AV40" s="17">
        <v>0</v>
      </c>
      <c r="AW40" s="17">
        <v>0</v>
      </c>
      <c r="AX40" s="17">
        <v>0</v>
      </c>
      <c r="AY40" s="17">
        <v>0</v>
      </c>
      <c r="AZ40" s="17">
        <v>0</v>
      </c>
      <c r="BA40" s="17">
        <v>0</v>
      </c>
      <c r="BB40" s="17">
        <v>0</v>
      </c>
      <c r="BC40" s="17">
        <v>0</v>
      </c>
      <c r="BD40" s="17">
        <v>0</v>
      </c>
      <c r="BE40" s="17">
        <v>0</v>
      </c>
      <c r="BF40" s="17">
        <v>0</v>
      </c>
      <c r="BG40" s="17">
        <v>0</v>
      </c>
      <c r="BH40" s="17">
        <v>0</v>
      </c>
      <c r="BI40" s="17">
        <v>0</v>
      </c>
      <c r="BJ40" s="17">
        <v>0</v>
      </c>
      <c r="BK40" s="17">
        <v>0</v>
      </c>
      <c r="BL40" s="17">
        <v>0</v>
      </c>
      <c r="BM40" s="17">
        <v>0</v>
      </c>
      <c r="BN40" s="17">
        <v>0</v>
      </c>
      <c r="BO40" s="17">
        <v>0</v>
      </c>
      <c r="BP40" s="17">
        <v>0</v>
      </c>
      <c r="BQ40" s="17">
        <v>0</v>
      </c>
      <c r="BR40" s="17">
        <v>0</v>
      </c>
      <c r="BS40" s="17">
        <v>0</v>
      </c>
      <c r="BT40" s="17">
        <v>0</v>
      </c>
      <c r="BU40" s="17">
        <v>0</v>
      </c>
      <c r="BV40" s="17">
        <v>0</v>
      </c>
      <c r="BW40" s="17">
        <v>0</v>
      </c>
      <c r="BX40" s="17">
        <v>0</v>
      </c>
      <c r="BY40" s="17">
        <v>0</v>
      </c>
      <c r="BZ40" s="17">
        <v>0</v>
      </c>
      <c r="CA40" s="17">
        <v>0</v>
      </c>
      <c r="CB40" s="17">
        <v>0</v>
      </c>
      <c r="CC40" s="17">
        <v>0</v>
      </c>
      <c r="CD40" s="17">
        <v>0</v>
      </c>
      <c r="CE40" s="17">
        <v>0</v>
      </c>
      <c r="CF40" s="17">
        <v>0</v>
      </c>
      <c r="CG40" s="17">
        <v>0</v>
      </c>
      <c r="CH40" s="17">
        <v>0</v>
      </c>
      <c r="CI40" s="17">
        <v>0</v>
      </c>
      <c r="CJ40" s="17">
        <v>0</v>
      </c>
      <c r="CK40" s="18">
        <v>0</v>
      </c>
    </row>
    <row r="41" spans="1:89">
      <c r="A41" s="5" t="s">
        <v>23</v>
      </c>
      <c r="B41" s="44" t="s">
        <v>36</v>
      </c>
      <c r="C41" s="6" t="s">
        <v>37</v>
      </c>
      <c r="D41" s="5">
        <v>26</v>
      </c>
      <c r="E41" s="31">
        <v>0.14657982184000887</v>
      </c>
      <c r="F41" s="38">
        <f t="shared" si="2"/>
        <v>0</v>
      </c>
      <c r="J41" s="44">
        <v>26</v>
      </c>
      <c r="K41" s="54">
        <v>0</v>
      </c>
      <c r="L41" s="17">
        <f t="shared" si="0"/>
        <v>0</v>
      </c>
      <c r="M41" s="52">
        <f t="shared" si="3"/>
        <v>0</v>
      </c>
      <c r="N41" s="18">
        <f t="shared" si="1"/>
        <v>0</v>
      </c>
      <c r="Q41" s="57">
        <v>-5.18502653790331E-5</v>
      </c>
      <c r="R41" s="60">
        <v>6.3385607432907901E-2</v>
      </c>
      <c r="S41" s="16">
        <v>6</v>
      </c>
      <c r="T41" s="17">
        <v>9</v>
      </c>
      <c r="U41" s="18">
        <v>0.33333333333333331</v>
      </c>
      <c r="W41" s="16">
        <v>0</v>
      </c>
      <c r="X41" s="17">
        <v>0</v>
      </c>
      <c r="Y41" s="17">
        <v>0</v>
      </c>
      <c r="Z41" s="17">
        <v>1</v>
      </c>
      <c r="AA41" s="17">
        <v>0</v>
      </c>
      <c r="AB41" s="17">
        <v>0</v>
      </c>
      <c r="AC41" s="17">
        <v>0</v>
      </c>
      <c r="AD41" s="17">
        <v>0</v>
      </c>
      <c r="AE41" s="17">
        <v>0</v>
      </c>
      <c r="AF41" s="17">
        <v>0</v>
      </c>
      <c r="AG41" s="18">
        <v>0</v>
      </c>
      <c r="AI41" s="16">
        <v>0</v>
      </c>
      <c r="AJ41" s="17">
        <v>0</v>
      </c>
      <c r="AK41" s="17">
        <v>0</v>
      </c>
      <c r="AL41" s="17">
        <v>1</v>
      </c>
      <c r="AM41" s="17">
        <v>0</v>
      </c>
      <c r="AN41" s="17">
        <v>0</v>
      </c>
      <c r="AO41" s="17">
        <v>0</v>
      </c>
      <c r="AP41" s="17">
        <v>0</v>
      </c>
      <c r="AQ41" s="17">
        <v>0</v>
      </c>
      <c r="AR41" s="17">
        <v>0</v>
      </c>
      <c r="AS41" s="17">
        <v>0</v>
      </c>
      <c r="AT41" s="17">
        <v>0</v>
      </c>
      <c r="AU41" s="17">
        <v>0</v>
      </c>
      <c r="AV41" s="17">
        <v>0</v>
      </c>
      <c r="AW41" s="17">
        <v>0</v>
      </c>
      <c r="AX41" s="17">
        <v>0</v>
      </c>
      <c r="AY41" s="17">
        <v>0</v>
      </c>
      <c r="AZ41" s="17">
        <v>0</v>
      </c>
      <c r="BA41" s="17">
        <v>0</v>
      </c>
      <c r="BB41" s="17">
        <v>0</v>
      </c>
      <c r="BC41" s="17">
        <v>0</v>
      </c>
      <c r="BD41" s="17">
        <v>0</v>
      </c>
      <c r="BE41" s="17">
        <v>0</v>
      </c>
      <c r="BF41" s="17">
        <v>0</v>
      </c>
      <c r="BG41" s="17">
        <v>0</v>
      </c>
      <c r="BH41" s="17">
        <v>0</v>
      </c>
      <c r="BI41" s="17">
        <v>0</v>
      </c>
      <c r="BJ41" s="17">
        <v>0</v>
      </c>
      <c r="BK41" s="17">
        <v>0</v>
      </c>
      <c r="BL41" s="17">
        <v>0</v>
      </c>
      <c r="BM41" s="17">
        <v>0</v>
      </c>
      <c r="BN41" s="17">
        <v>0</v>
      </c>
      <c r="BO41" s="17">
        <v>0</v>
      </c>
      <c r="BP41" s="17">
        <v>0</v>
      </c>
      <c r="BQ41" s="17">
        <v>0</v>
      </c>
      <c r="BR41" s="17">
        <v>0</v>
      </c>
      <c r="BS41" s="17">
        <v>0</v>
      </c>
      <c r="BT41" s="17">
        <v>0</v>
      </c>
      <c r="BU41" s="17">
        <v>0</v>
      </c>
      <c r="BV41" s="17">
        <v>0</v>
      </c>
      <c r="BW41" s="17">
        <v>0</v>
      </c>
      <c r="BX41" s="17">
        <v>0</v>
      </c>
      <c r="BY41" s="17">
        <v>0</v>
      </c>
      <c r="BZ41" s="17">
        <v>0</v>
      </c>
      <c r="CA41" s="17">
        <v>0</v>
      </c>
      <c r="CB41" s="17">
        <v>0</v>
      </c>
      <c r="CC41" s="17">
        <v>0</v>
      </c>
      <c r="CD41" s="17">
        <v>0</v>
      </c>
      <c r="CE41" s="17">
        <v>0</v>
      </c>
      <c r="CF41" s="17">
        <v>0</v>
      </c>
      <c r="CG41" s="17">
        <v>0</v>
      </c>
      <c r="CH41" s="17">
        <v>0</v>
      </c>
      <c r="CI41" s="17">
        <v>0</v>
      </c>
      <c r="CJ41" s="17">
        <v>0</v>
      </c>
      <c r="CK41" s="18">
        <v>0</v>
      </c>
    </row>
    <row r="42" spans="1:89">
      <c r="A42" s="5" t="s">
        <v>23</v>
      </c>
      <c r="B42" s="44" t="s">
        <v>36</v>
      </c>
      <c r="C42" s="6" t="s">
        <v>36</v>
      </c>
      <c r="D42" s="5">
        <v>27</v>
      </c>
      <c r="E42" s="31">
        <v>0.14786015576006251</v>
      </c>
      <c r="F42" s="38">
        <f t="shared" si="2"/>
        <v>0</v>
      </c>
      <c r="J42" s="44">
        <v>27</v>
      </c>
      <c r="K42" s="54">
        <v>0</v>
      </c>
      <c r="L42" s="17">
        <f t="shared" si="0"/>
        <v>0</v>
      </c>
      <c r="M42" s="52">
        <f t="shared" si="3"/>
        <v>0</v>
      </c>
      <c r="N42" s="18">
        <f t="shared" si="1"/>
        <v>0</v>
      </c>
      <c r="Q42" s="57">
        <v>5.15440168447945E-5</v>
      </c>
      <c r="R42" s="60">
        <v>6.6382390343824302E-2</v>
      </c>
      <c r="S42" s="16">
        <v>6</v>
      </c>
      <c r="T42" s="17">
        <v>83</v>
      </c>
      <c r="U42" s="18">
        <v>0.33333333333333331</v>
      </c>
      <c r="W42" s="16">
        <v>0</v>
      </c>
      <c r="X42" s="17">
        <v>0</v>
      </c>
      <c r="Y42" s="17">
        <v>0</v>
      </c>
      <c r="Z42" s="17">
        <v>1</v>
      </c>
      <c r="AA42" s="17">
        <v>0</v>
      </c>
      <c r="AB42" s="17">
        <v>0</v>
      </c>
      <c r="AC42" s="17">
        <v>0</v>
      </c>
      <c r="AD42" s="17">
        <v>0</v>
      </c>
      <c r="AE42" s="17">
        <v>0</v>
      </c>
      <c r="AF42" s="17">
        <v>0</v>
      </c>
      <c r="AG42" s="18">
        <v>0</v>
      </c>
      <c r="AI42" s="16">
        <v>0</v>
      </c>
      <c r="AJ42" s="17">
        <v>0</v>
      </c>
      <c r="AK42" s="17">
        <v>0</v>
      </c>
      <c r="AL42" s="17">
        <v>1</v>
      </c>
      <c r="AM42" s="17">
        <v>0</v>
      </c>
      <c r="AN42" s="17">
        <v>0</v>
      </c>
      <c r="AO42" s="17">
        <v>0</v>
      </c>
      <c r="AP42" s="17">
        <v>0</v>
      </c>
      <c r="AQ42" s="17">
        <v>0</v>
      </c>
      <c r="AR42" s="17">
        <v>0</v>
      </c>
      <c r="AS42" s="17">
        <v>0</v>
      </c>
      <c r="AT42" s="17">
        <v>0</v>
      </c>
      <c r="AU42" s="17">
        <v>0</v>
      </c>
      <c r="AV42" s="17">
        <v>0</v>
      </c>
      <c r="AW42" s="17">
        <v>0</v>
      </c>
      <c r="AX42" s="17">
        <v>0</v>
      </c>
      <c r="AY42" s="17">
        <v>0</v>
      </c>
      <c r="AZ42" s="17">
        <v>0</v>
      </c>
      <c r="BA42" s="17">
        <v>0</v>
      </c>
      <c r="BB42" s="17">
        <v>0</v>
      </c>
      <c r="BC42" s="17">
        <v>0</v>
      </c>
      <c r="BD42" s="17">
        <v>0</v>
      </c>
      <c r="BE42" s="17">
        <v>0</v>
      </c>
      <c r="BF42" s="17">
        <v>0</v>
      </c>
      <c r="BG42" s="17">
        <v>0</v>
      </c>
      <c r="BH42" s="17">
        <v>0</v>
      </c>
      <c r="BI42" s="17">
        <v>0</v>
      </c>
      <c r="BJ42" s="17">
        <v>0</v>
      </c>
      <c r="BK42" s="17">
        <v>0</v>
      </c>
      <c r="BL42" s="17">
        <v>0</v>
      </c>
      <c r="BM42" s="17">
        <v>0</v>
      </c>
      <c r="BN42" s="17">
        <v>0</v>
      </c>
      <c r="BO42" s="17">
        <v>0</v>
      </c>
      <c r="BP42" s="17">
        <v>0</v>
      </c>
      <c r="BQ42" s="17">
        <v>0</v>
      </c>
      <c r="BR42" s="17">
        <v>0</v>
      </c>
      <c r="BS42" s="17">
        <v>0</v>
      </c>
      <c r="BT42" s="17">
        <v>0</v>
      </c>
      <c r="BU42" s="17">
        <v>0</v>
      </c>
      <c r="BV42" s="17">
        <v>0</v>
      </c>
      <c r="BW42" s="17">
        <v>0</v>
      </c>
      <c r="BX42" s="17">
        <v>0</v>
      </c>
      <c r="BY42" s="17">
        <v>0</v>
      </c>
      <c r="BZ42" s="17">
        <v>0</v>
      </c>
      <c r="CA42" s="17">
        <v>0</v>
      </c>
      <c r="CB42" s="17">
        <v>0</v>
      </c>
      <c r="CC42" s="17">
        <v>0</v>
      </c>
      <c r="CD42" s="17">
        <v>0</v>
      </c>
      <c r="CE42" s="17">
        <v>0</v>
      </c>
      <c r="CF42" s="17">
        <v>0</v>
      </c>
      <c r="CG42" s="17">
        <v>0</v>
      </c>
      <c r="CH42" s="17">
        <v>0</v>
      </c>
      <c r="CI42" s="17">
        <v>0</v>
      </c>
      <c r="CJ42" s="17">
        <v>0</v>
      </c>
      <c r="CK42" s="18">
        <v>0</v>
      </c>
    </row>
    <row r="43" spans="1:89">
      <c r="A43" s="5" t="s">
        <v>23</v>
      </c>
      <c r="B43" s="44" t="s">
        <v>36</v>
      </c>
      <c r="C43" s="6" t="s">
        <v>38</v>
      </c>
      <c r="D43" s="5">
        <v>28</v>
      </c>
      <c r="E43" s="31">
        <v>0.1404793792082028</v>
      </c>
      <c r="F43" s="38">
        <f t="shared" si="2"/>
        <v>0</v>
      </c>
      <c r="J43" s="44">
        <v>28</v>
      </c>
      <c r="K43" s="54">
        <v>0</v>
      </c>
      <c r="L43" s="17">
        <f t="shared" si="0"/>
        <v>0</v>
      </c>
      <c r="M43" s="52">
        <f t="shared" si="3"/>
        <v>0</v>
      </c>
      <c r="N43" s="18">
        <f t="shared" si="1"/>
        <v>0</v>
      </c>
      <c r="Q43" s="57">
        <v>4.20053698136421E-5</v>
      </c>
      <c r="R43" s="60">
        <v>5.3855627361966099E-2</v>
      </c>
      <c r="S43" s="16">
        <v>7</v>
      </c>
      <c r="T43" s="17">
        <v>10</v>
      </c>
      <c r="U43" s="18">
        <v>0.5</v>
      </c>
      <c r="W43" s="16">
        <v>0</v>
      </c>
      <c r="X43" s="17">
        <v>0</v>
      </c>
      <c r="Y43" s="17">
        <v>0</v>
      </c>
      <c r="Z43" s="17">
        <v>1</v>
      </c>
      <c r="AA43" s="17">
        <v>0</v>
      </c>
      <c r="AB43" s="17">
        <v>0</v>
      </c>
      <c r="AC43" s="17">
        <v>0</v>
      </c>
      <c r="AD43" s="17">
        <v>0</v>
      </c>
      <c r="AE43" s="17">
        <v>0</v>
      </c>
      <c r="AF43" s="17">
        <v>0</v>
      </c>
      <c r="AG43" s="18">
        <v>0</v>
      </c>
      <c r="AI43" s="16">
        <v>0</v>
      </c>
      <c r="AJ43" s="17">
        <v>0</v>
      </c>
      <c r="AK43" s="17">
        <v>0</v>
      </c>
      <c r="AL43" s="17">
        <v>1</v>
      </c>
      <c r="AM43" s="17">
        <v>0</v>
      </c>
      <c r="AN43" s="17">
        <v>0</v>
      </c>
      <c r="AO43" s="17">
        <v>0</v>
      </c>
      <c r="AP43" s="17">
        <v>0</v>
      </c>
      <c r="AQ43" s="17">
        <v>0</v>
      </c>
      <c r="AR43" s="17">
        <v>0</v>
      </c>
      <c r="AS43" s="17">
        <v>0</v>
      </c>
      <c r="AT43" s="17">
        <v>0</v>
      </c>
      <c r="AU43" s="17">
        <v>0</v>
      </c>
      <c r="AV43" s="17">
        <v>0</v>
      </c>
      <c r="AW43" s="17">
        <v>0</v>
      </c>
      <c r="AX43" s="17">
        <v>0</v>
      </c>
      <c r="AY43" s="17">
        <v>0</v>
      </c>
      <c r="AZ43" s="17">
        <v>0</v>
      </c>
      <c r="BA43" s="17">
        <v>0</v>
      </c>
      <c r="BB43" s="17">
        <v>0</v>
      </c>
      <c r="BC43" s="17">
        <v>0</v>
      </c>
      <c r="BD43" s="17">
        <v>0</v>
      </c>
      <c r="BE43" s="17">
        <v>0</v>
      </c>
      <c r="BF43" s="17">
        <v>0</v>
      </c>
      <c r="BG43" s="17">
        <v>0</v>
      </c>
      <c r="BH43" s="17">
        <v>0</v>
      </c>
      <c r="BI43" s="17">
        <v>0</v>
      </c>
      <c r="BJ43" s="17">
        <v>0</v>
      </c>
      <c r="BK43" s="17">
        <v>0</v>
      </c>
      <c r="BL43" s="17">
        <v>0</v>
      </c>
      <c r="BM43" s="17">
        <v>0</v>
      </c>
      <c r="BN43" s="17">
        <v>0</v>
      </c>
      <c r="BO43" s="17">
        <v>0</v>
      </c>
      <c r="BP43" s="17">
        <v>0</v>
      </c>
      <c r="BQ43" s="17">
        <v>0</v>
      </c>
      <c r="BR43" s="17">
        <v>0</v>
      </c>
      <c r="BS43" s="17">
        <v>0</v>
      </c>
      <c r="BT43" s="17">
        <v>0</v>
      </c>
      <c r="BU43" s="17">
        <v>0</v>
      </c>
      <c r="BV43" s="17">
        <v>0</v>
      </c>
      <c r="BW43" s="17">
        <v>0</v>
      </c>
      <c r="BX43" s="17">
        <v>0</v>
      </c>
      <c r="BY43" s="17">
        <v>0</v>
      </c>
      <c r="BZ43" s="17">
        <v>0</v>
      </c>
      <c r="CA43" s="17">
        <v>0</v>
      </c>
      <c r="CB43" s="17">
        <v>0</v>
      </c>
      <c r="CC43" s="17">
        <v>0</v>
      </c>
      <c r="CD43" s="17">
        <v>0</v>
      </c>
      <c r="CE43" s="17">
        <v>0</v>
      </c>
      <c r="CF43" s="17">
        <v>0</v>
      </c>
      <c r="CG43" s="17">
        <v>0</v>
      </c>
      <c r="CH43" s="17">
        <v>0</v>
      </c>
      <c r="CI43" s="17">
        <v>0</v>
      </c>
      <c r="CJ43" s="17">
        <v>0</v>
      </c>
      <c r="CK43" s="18">
        <v>0</v>
      </c>
    </row>
    <row r="44" spans="1:89">
      <c r="A44" s="5" t="s">
        <v>23</v>
      </c>
      <c r="B44" s="44" t="s">
        <v>36</v>
      </c>
      <c r="C44" s="6" t="s">
        <v>39</v>
      </c>
      <c r="D44" s="5">
        <v>29</v>
      </c>
      <c r="E44" s="31">
        <v>0.14751239345667061</v>
      </c>
      <c r="F44" s="38">
        <f t="shared" si="2"/>
        <v>0</v>
      </c>
      <c r="J44" s="44">
        <v>29</v>
      </c>
      <c r="K44" s="54">
        <v>0</v>
      </c>
      <c r="L44" s="17">
        <f t="shared" si="0"/>
        <v>0</v>
      </c>
      <c r="M44" s="52">
        <f t="shared" si="3"/>
        <v>0</v>
      </c>
      <c r="N44" s="18">
        <f t="shared" si="1"/>
        <v>0</v>
      </c>
      <c r="Q44" s="57">
        <v>1.6871022565422201E-4</v>
      </c>
      <c r="R44" s="60">
        <v>6.6230730841846303E-2</v>
      </c>
      <c r="S44" s="16">
        <v>7</v>
      </c>
      <c r="T44" s="17">
        <v>12</v>
      </c>
      <c r="U44" s="18">
        <v>0.5</v>
      </c>
      <c r="W44" s="16">
        <v>0</v>
      </c>
      <c r="X44" s="17">
        <v>0</v>
      </c>
      <c r="Y44" s="17">
        <v>0</v>
      </c>
      <c r="Z44" s="17">
        <v>1</v>
      </c>
      <c r="AA44" s="17">
        <v>0</v>
      </c>
      <c r="AB44" s="17">
        <v>0</v>
      </c>
      <c r="AC44" s="17">
        <v>0</v>
      </c>
      <c r="AD44" s="17">
        <v>0</v>
      </c>
      <c r="AE44" s="17">
        <v>0</v>
      </c>
      <c r="AF44" s="17">
        <v>0</v>
      </c>
      <c r="AG44" s="18">
        <v>0</v>
      </c>
      <c r="AI44" s="16">
        <v>0</v>
      </c>
      <c r="AJ44" s="17">
        <v>0</v>
      </c>
      <c r="AK44" s="17">
        <v>0</v>
      </c>
      <c r="AL44" s="17">
        <v>1</v>
      </c>
      <c r="AM44" s="17">
        <v>0</v>
      </c>
      <c r="AN44" s="17">
        <v>0</v>
      </c>
      <c r="AO44" s="17">
        <v>0</v>
      </c>
      <c r="AP44" s="17">
        <v>0</v>
      </c>
      <c r="AQ44" s="17">
        <v>0</v>
      </c>
      <c r="AR44" s="17">
        <v>0</v>
      </c>
      <c r="AS44" s="17">
        <v>0</v>
      </c>
      <c r="AT44" s="17">
        <v>0</v>
      </c>
      <c r="AU44" s="17">
        <v>0</v>
      </c>
      <c r="AV44" s="17">
        <v>0</v>
      </c>
      <c r="AW44" s="17">
        <v>0</v>
      </c>
      <c r="AX44" s="17">
        <v>0</v>
      </c>
      <c r="AY44" s="17">
        <v>0</v>
      </c>
      <c r="AZ44" s="17">
        <v>0</v>
      </c>
      <c r="BA44" s="17">
        <v>0</v>
      </c>
      <c r="BB44" s="17">
        <v>0</v>
      </c>
      <c r="BC44" s="17">
        <v>0</v>
      </c>
      <c r="BD44" s="17">
        <v>0</v>
      </c>
      <c r="BE44" s="17">
        <v>0</v>
      </c>
      <c r="BF44" s="17">
        <v>0</v>
      </c>
      <c r="BG44" s="17">
        <v>0</v>
      </c>
      <c r="BH44" s="17">
        <v>0</v>
      </c>
      <c r="BI44" s="17">
        <v>0</v>
      </c>
      <c r="BJ44" s="17">
        <v>0</v>
      </c>
      <c r="BK44" s="17">
        <v>0</v>
      </c>
      <c r="BL44" s="17">
        <v>0</v>
      </c>
      <c r="BM44" s="17">
        <v>0</v>
      </c>
      <c r="BN44" s="17">
        <v>0</v>
      </c>
      <c r="BO44" s="17">
        <v>0</v>
      </c>
      <c r="BP44" s="17">
        <v>0</v>
      </c>
      <c r="BQ44" s="17">
        <v>0</v>
      </c>
      <c r="BR44" s="17">
        <v>0</v>
      </c>
      <c r="BS44" s="17">
        <v>0</v>
      </c>
      <c r="BT44" s="17">
        <v>0</v>
      </c>
      <c r="BU44" s="17">
        <v>0</v>
      </c>
      <c r="BV44" s="17">
        <v>0</v>
      </c>
      <c r="BW44" s="17">
        <v>0</v>
      </c>
      <c r="BX44" s="17">
        <v>0</v>
      </c>
      <c r="BY44" s="17">
        <v>0</v>
      </c>
      <c r="BZ44" s="17">
        <v>0</v>
      </c>
      <c r="CA44" s="17">
        <v>0</v>
      </c>
      <c r="CB44" s="17">
        <v>0</v>
      </c>
      <c r="CC44" s="17">
        <v>0</v>
      </c>
      <c r="CD44" s="17">
        <v>0</v>
      </c>
      <c r="CE44" s="17">
        <v>0</v>
      </c>
      <c r="CF44" s="17">
        <v>0</v>
      </c>
      <c r="CG44" s="17">
        <v>0</v>
      </c>
      <c r="CH44" s="17">
        <v>0</v>
      </c>
      <c r="CI44" s="17">
        <v>0</v>
      </c>
      <c r="CJ44" s="17">
        <v>0</v>
      </c>
      <c r="CK44" s="18">
        <v>0</v>
      </c>
    </row>
    <row r="45" spans="1:89">
      <c r="A45" s="5" t="s">
        <v>40</v>
      </c>
      <c r="B45" s="44" t="s">
        <v>41</v>
      </c>
      <c r="C45" s="6" t="s">
        <v>42</v>
      </c>
      <c r="D45" s="5">
        <v>30</v>
      </c>
      <c r="E45" s="31">
        <v>7.5186681070409933E-2</v>
      </c>
      <c r="F45" s="38">
        <f t="shared" si="2"/>
        <v>0</v>
      </c>
      <c r="J45" s="44">
        <v>30</v>
      </c>
      <c r="K45" s="54">
        <v>0</v>
      </c>
      <c r="L45" s="17">
        <f t="shared" si="0"/>
        <v>0</v>
      </c>
      <c r="M45" s="52">
        <f t="shared" si="3"/>
        <v>0</v>
      </c>
      <c r="N45" s="18">
        <f t="shared" si="1"/>
        <v>0</v>
      </c>
      <c r="Q45" s="56">
        <v>2.6600849546626798E-4</v>
      </c>
      <c r="R45" s="60">
        <v>0</v>
      </c>
      <c r="S45" s="16">
        <v>8</v>
      </c>
      <c r="T45" s="17">
        <v>2</v>
      </c>
      <c r="U45" s="18">
        <v>0.33333333333333331</v>
      </c>
      <c r="W45" s="16">
        <v>0</v>
      </c>
      <c r="X45" s="17">
        <v>0</v>
      </c>
      <c r="Y45" s="17">
        <v>0</v>
      </c>
      <c r="Z45" s="17">
        <v>0</v>
      </c>
      <c r="AA45" s="17">
        <v>1</v>
      </c>
      <c r="AB45" s="17">
        <v>0</v>
      </c>
      <c r="AC45" s="17">
        <v>0</v>
      </c>
      <c r="AD45" s="17">
        <v>0</v>
      </c>
      <c r="AE45" s="17">
        <v>0</v>
      </c>
      <c r="AF45" s="17">
        <v>0</v>
      </c>
      <c r="AG45" s="18">
        <v>0</v>
      </c>
      <c r="AI45" s="16">
        <v>0</v>
      </c>
      <c r="AJ45" s="17">
        <v>0</v>
      </c>
      <c r="AK45" s="17">
        <v>0</v>
      </c>
      <c r="AL45" s="17">
        <v>0</v>
      </c>
      <c r="AM45" s="17">
        <v>1</v>
      </c>
      <c r="AN45" s="17">
        <v>0</v>
      </c>
      <c r="AO45" s="17">
        <v>0</v>
      </c>
      <c r="AP45" s="17">
        <v>0</v>
      </c>
      <c r="AQ45" s="17">
        <v>0</v>
      </c>
      <c r="AR45" s="17">
        <v>0</v>
      </c>
      <c r="AS45" s="17">
        <v>0</v>
      </c>
      <c r="AT45" s="17">
        <v>0</v>
      </c>
      <c r="AU45" s="17">
        <v>0</v>
      </c>
      <c r="AV45" s="17">
        <v>0</v>
      </c>
      <c r="AW45" s="17">
        <v>0</v>
      </c>
      <c r="AX45" s="17">
        <v>0</v>
      </c>
      <c r="AY45" s="17">
        <v>0</v>
      </c>
      <c r="AZ45" s="17">
        <v>0</v>
      </c>
      <c r="BA45" s="17">
        <v>0</v>
      </c>
      <c r="BB45" s="17">
        <v>0</v>
      </c>
      <c r="BC45" s="17">
        <v>0</v>
      </c>
      <c r="BD45" s="17">
        <v>0</v>
      </c>
      <c r="BE45" s="17">
        <v>0</v>
      </c>
      <c r="BF45" s="17">
        <v>0</v>
      </c>
      <c r="BG45" s="17">
        <v>0</v>
      </c>
      <c r="BH45" s="17">
        <v>0</v>
      </c>
      <c r="BI45" s="17">
        <v>0</v>
      </c>
      <c r="BJ45" s="17">
        <v>0</v>
      </c>
      <c r="BK45" s="17">
        <v>0</v>
      </c>
      <c r="BL45" s="17">
        <v>0</v>
      </c>
      <c r="BM45" s="17">
        <v>0</v>
      </c>
      <c r="BN45" s="17">
        <v>0</v>
      </c>
      <c r="BO45" s="17">
        <v>0</v>
      </c>
      <c r="BP45" s="17">
        <v>0</v>
      </c>
      <c r="BQ45" s="17">
        <v>0</v>
      </c>
      <c r="BR45" s="17">
        <v>0</v>
      </c>
      <c r="BS45" s="17">
        <v>0</v>
      </c>
      <c r="BT45" s="17">
        <v>0</v>
      </c>
      <c r="BU45" s="17">
        <v>0</v>
      </c>
      <c r="BV45" s="17">
        <v>0</v>
      </c>
      <c r="BW45" s="17">
        <v>0</v>
      </c>
      <c r="BX45" s="17">
        <v>0</v>
      </c>
      <c r="BY45" s="17">
        <v>0</v>
      </c>
      <c r="BZ45" s="17">
        <v>0</v>
      </c>
      <c r="CA45" s="17">
        <v>0</v>
      </c>
      <c r="CB45" s="17">
        <v>0</v>
      </c>
      <c r="CC45" s="17">
        <v>0</v>
      </c>
      <c r="CD45" s="17">
        <v>0</v>
      </c>
      <c r="CE45" s="17">
        <v>0</v>
      </c>
      <c r="CF45" s="17">
        <v>0</v>
      </c>
      <c r="CG45" s="17">
        <v>0</v>
      </c>
      <c r="CH45" s="17">
        <v>0</v>
      </c>
      <c r="CI45" s="17">
        <v>0</v>
      </c>
      <c r="CJ45" s="17">
        <v>0</v>
      </c>
      <c r="CK45" s="18">
        <v>0</v>
      </c>
    </row>
    <row r="46" spans="1:89">
      <c r="A46" s="5" t="s">
        <v>40</v>
      </c>
      <c r="B46" s="44" t="s">
        <v>41</v>
      </c>
      <c r="C46" s="6" t="s">
        <v>43</v>
      </c>
      <c r="D46" s="5">
        <v>31</v>
      </c>
      <c r="E46" s="31">
        <v>9.8906501363953264E-2</v>
      </c>
      <c r="F46" s="38">
        <f t="shared" si="2"/>
        <v>0</v>
      </c>
      <c r="J46" s="44">
        <v>31</v>
      </c>
      <c r="K46" s="54">
        <v>0</v>
      </c>
      <c r="L46" s="17">
        <f t="shared" si="0"/>
        <v>0</v>
      </c>
      <c r="M46" s="52">
        <f t="shared" si="3"/>
        <v>0</v>
      </c>
      <c r="N46" s="18">
        <f t="shared" si="1"/>
        <v>0</v>
      </c>
      <c r="Q46" s="56">
        <v>2.35048738909637E-4</v>
      </c>
      <c r="R46" s="60">
        <v>2.1238403480586698E-2</v>
      </c>
      <c r="S46" s="16">
        <v>8</v>
      </c>
      <c r="T46" s="17">
        <v>3</v>
      </c>
      <c r="U46" s="18">
        <v>0.33333333333333331</v>
      </c>
      <c r="W46" s="16">
        <v>0</v>
      </c>
      <c r="X46" s="17">
        <v>0</v>
      </c>
      <c r="Y46" s="17">
        <v>0</v>
      </c>
      <c r="Z46" s="17">
        <v>0</v>
      </c>
      <c r="AA46" s="17">
        <v>1</v>
      </c>
      <c r="AB46" s="17">
        <v>0</v>
      </c>
      <c r="AC46" s="17">
        <v>0</v>
      </c>
      <c r="AD46" s="17">
        <v>0</v>
      </c>
      <c r="AE46" s="17">
        <v>0</v>
      </c>
      <c r="AF46" s="17">
        <v>0</v>
      </c>
      <c r="AG46" s="18">
        <v>0</v>
      </c>
      <c r="AI46" s="16">
        <v>0</v>
      </c>
      <c r="AJ46" s="17">
        <v>0</v>
      </c>
      <c r="AK46" s="17">
        <v>0</v>
      </c>
      <c r="AL46" s="17">
        <v>0</v>
      </c>
      <c r="AM46" s="17">
        <v>1</v>
      </c>
      <c r="AN46" s="17">
        <v>0</v>
      </c>
      <c r="AO46" s="17">
        <v>0</v>
      </c>
      <c r="AP46" s="17">
        <v>0</v>
      </c>
      <c r="AQ46" s="17">
        <v>0</v>
      </c>
      <c r="AR46" s="17">
        <v>0</v>
      </c>
      <c r="AS46" s="17">
        <v>0</v>
      </c>
      <c r="AT46" s="17">
        <v>0</v>
      </c>
      <c r="AU46" s="17">
        <v>0</v>
      </c>
      <c r="AV46" s="17">
        <v>0</v>
      </c>
      <c r="AW46" s="17">
        <v>0</v>
      </c>
      <c r="AX46" s="17">
        <v>0</v>
      </c>
      <c r="AY46" s="17">
        <v>0</v>
      </c>
      <c r="AZ46" s="17">
        <v>0</v>
      </c>
      <c r="BA46" s="17">
        <v>0</v>
      </c>
      <c r="BB46" s="17">
        <v>0</v>
      </c>
      <c r="BC46" s="17">
        <v>0</v>
      </c>
      <c r="BD46" s="17">
        <v>0</v>
      </c>
      <c r="BE46" s="17">
        <v>0</v>
      </c>
      <c r="BF46" s="17">
        <v>0</v>
      </c>
      <c r="BG46" s="17">
        <v>0</v>
      </c>
      <c r="BH46" s="17">
        <v>0</v>
      </c>
      <c r="BI46" s="17">
        <v>0</v>
      </c>
      <c r="BJ46" s="17">
        <v>0</v>
      </c>
      <c r="BK46" s="17">
        <v>0</v>
      </c>
      <c r="BL46" s="17">
        <v>0</v>
      </c>
      <c r="BM46" s="17">
        <v>0</v>
      </c>
      <c r="BN46" s="17">
        <v>0</v>
      </c>
      <c r="BO46" s="17">
        <v>0</v>
      </c>
      <c r="BP46" s="17">
        <v>0</v>
      </c>
      <c r="BQ46" s="17">
        <v>0</v>
      </c>
      <c r="BR46" s="17">
        <v>0</v>
      </c>
      <c r="BS46" s="17">
        <v>0</v>
      </c>
      <c r="BT46" s="17">
        <v>0</v>
      </c>
      <c r="BU46" s="17">
        <v>0</v>
      </c>
      <c r="BV46" s="17">
        <v>0</v>
      </c>
      <c r="BW46" s="17">
        <v>0</v>
      </c>
      <c r="BX46" s="17">
        <v>0</v>
      </c>
      <c r="BY46" s="17">
        <v>0</v>
      </c>
      <c r="BZ46" s="17">
        <v>0</v>
      </c>
      <c r="CA46" s="17">
        <v>0</v>
      </c>
      <c r="CB46" s="17">
        <v>0</v>
      </c>
      <c r="CC46" s="17">
        <v>0</v>
      </c>
      <c r="CD46" s="17">
        <v>0</v>
      </c>
      <c r="CE46" s="17">
        <v>0</v>
      </c>
      <c r="CF46" s="17">
        <v>0</v>
      </c>
      <c r="CG46" s="17">
        <v>0</v>
      </c>
      <c r="CH46" s="17">
        <v>0</v>
      </c>
      <c r="CI46" s="17">
        <v>0</v>
      </c>
      <c r="CJ46" s="17">
        <v>0</v>
      </c>
      <c r="CK46" s="18">
        <v>0</v>
      </c>
    </row>
    <row r="47" spans="1:89">
      <c r="A47" s="5" t="s">
        <v>40</v>
      </c>
      <c r="B47" s="44" t="s">
        <v>41</v>
      </c>
      <c r="C47" s="6" t="s">
        <v>44</v>
      </c>
      <c r="D47" s="5">
        <v>32</v>
      </c>
      <c r="E47" s="31">
        <v>8.9153889852289503E-2</v>
      </c>
      <c r="F47" s="38">
        <f t="shared" si="2"/>
        <v>0</v>
      </c>
      <c r="J47" s="44">
        <v>32</v>
      </c>
      <c r="K47" s="54">
        <v>0</v>
      </c>
      <c r="L47" s="17">
        <f t="shared" si="0"/>
        <v>0</v>
      </c>
      <c r="M47" s="52">
        <f t="shared" si="3"/>
        <v>0</v>
      </c>
      <c r="N47" s="18">
        <f t="shared" si="1"/>
        <v>0</v>
      </c>
      <c r="Q47" s="57">
        <v>8.1767779825261798E-5</v>
      </c>
      <c r="R47" s="60">
        <v>1.28862853221361E-2</v>
      </c>
      <c r="S47" s="16">
        <v>8</v>
      </c>
      <c r="T47" s="17">
        <v>13</v>
      </c>
      <c r="U47" s="18">
        <v>0.33333333333333331</v>
      </c>
      <c r="W47" s="16">
        <v>0</v>
      </c>
      <c r="X47" s="17">
        <v>0</v>
      </c>
      <c r="Y47" s="17">
        <v>0</v>
      </c>
      <c r="Z47" s="17">
        <v>0</v>
      </c>
      <c r="AA47" s="17">
        <v>1</v>
      </c>
      <c r="AB47" s="17">
        <v>0</v>
      </c>
      <c r="AC47" s="17">
        <v>0</v>
      </c>
      <c r="AD47" s="17">
        <v>0</v>
      </c>
      <c r="AE47" s="17">
        <v>0</v>
      </c>
      <c r="AF47" s="17">
        <v>0</v>
      </c>
      <c r="AG47" s="18">
        <v>0</v>
      </c>
      <c r="AI47" s="16">
        <v>0</v>
      </c>
      <c r="AJ47" s="17">
        <v>0</v>
      </c>
      <c r="AK47" s="17">
        <v>0</v>
      </c>
      <c r="AL47" s="17">
        <v>0</v>
      </c>
      <c r="AM47" s="17">
        <v>1</v>
      </c>
      <c r="AN47" s="17">
        <v>0</v>
      </c>
      <c r="AO47" s="17">
        <v>0</v>
      </c>
      <c r="AP47" s="17">
        <v>0</v>
      </c>
      <c r="AQ47" s="17">
        <v>0</v>
      </c>
      <c r="AR47" s="17">
        <v>0</v>
      </c>
      <c r="AS47" s="17">
        <v>0</v>
      </c>
      <c r="AT47" s="17">
        <v>0</v>
      </c>
      <c r="AU47" s="17">
        <v>0</v>
      </c>
      <c r="AV47" s="17">
        <v>0</v>
      </c>
      <c r="AW47" s="17">
        <v>0</v>
      </c>
      <c r="AX47" s="17">
        <v>0</v>
      </c>
      <c r="AY47" s="17">
        <v>0</v>
      </c>
      <c r="AZ47" s="17">
        <v>0</v>
      </c>
      <c r="BA47" s="17">
        <v>0</v>
      </c>
      <c r="BB47" s="17">
        <v>0</v>
      </c>
      <c r="BC47" s="17">
        <v>0</v>
      </c>
      <c r="BD47" s="17">
        <v>0</v>
      </c>
      <c r="BE47" s="17">
        <v>0</v>
      </c>
      <c r="BF47" s="17">
        <v>0</v>
      </c>
      <c r="BG47" s="17">
        <v>0</v>
      </c>
      <c r="BH47" s="17">
        <v>0</v>
      </c>
      <c r="BI47" s="17">
        <v>0</v>
      </c>
      <c r="BJ47" s="17">
        <v>0</v>
      </c>
      <c r="BK47" s="17">
        <v>0</v>
      </c>
      <c r="BL47" s="17">
        <v>0</v>
      </c>
      <c r="BM47" s="17">
        <v>0</v>
      </c>
      <c r="BN47" s="17">
        <v>0</v>
      </c>
      <c r="BO47" s="17">
        <v>0</v>
      </c>
      <c r="BP47" s="17">
        <v>0</v>
      </c>
      <c r="BQ47" s="17">
        <v>0</v>
      </c>
      <c r="BR47" s="17">
        <v>0</v>
      </c>
      <c r="BS47" s="17">
        <v>0</v>
      </c>
      <c r="BT47" s="17">
        <v>0</v>
      </c>
      <c r="BU47" s="17">
        <v>0</v>
      </c>
      <c r="BV47" s="17">
        <v>0</v>
      </c>
      <c r="BW47" s="17">
        <v>0</v>
      </c>
      <c r="BX47" s="17">
        <v>0</v>
      </c>
      <c r="BY47" s="17">
        <v>0</v>
      </c>
      <c r="BZ47" s="17">
        <v>0</v>
      </c>
      <c r="CA47" s="17">
        <v>0</v>
      </c>
      <c r="CB47" s="17">
        <v>0</v>
      </c>
      <c r="CC47" s="17">
        <v>0</v>
      </c>
      <c r="CD47" s="17">
        <v>0</v>
      </c>
      <c r="CE47" s="17">
        <v>0</v>
      </c>
      <c r="CF47" s="17">
        <v>0</v>
      </c>
      <c r="CG47" s="17">
        <v>0</v>
      </c>
      <c r="CH47" s="17">
        <v>0</v>
      </c>
      <c r="CI47" s="17">
        <v>0</v>
      </c>
      <c r="CJ47" s="17">
        <v>0</v>
      </c>
      <c r="CK47" s="18">
        <v>0</v>
      </c>
    </row>
    <row r="48" spans="1:89">
      <c r="A48" s="5" t="s">
        <v>40</v>
      </c>
      <c r="B48" s="44" t="s">
        <v>41</v>
      </c>
      <c r="C48" s="6" t="s">
        <v>45</v>
      </c>
      <c r="D48" s="5">
        <v>33</v>
      </c>
      <c r="E48" s="31">
        <v>0.11199818737294567</v>
      </c>
      <c r="F48" s="38">
        <f t="shared" si="2"/>
        <v>0</v>
      </c>
      <c r="J48" s="44">
        <v>33</v>
      </c>
      <c r="K48" s="54">
        <v>0</v>
      </c>
      <c r="L48" s="17">
        <f t="shared" si="0"/>
        <v>0</v>
      </c>
      <c r="M48" s="52">
        <f t="shared" si="3"/>
        <v>0</v>
      </c>
      <c r="N48" s="18">
        <f t="shared" si="1"/>
        <v>0</v>
      </c>
      <c r="Q48" s="57">
        <v>6.9116885953226994E-5</v>
      </c>
      <c r="R48" s="60">
        <v>3.7960270415259102E-2</v>
      </c>
      <c r="S48" s="16">
        <v>9</v>
      </c>
      <c r="T48" s="17">
        <v>1</v>
      </c>
      <c r="U48" s="18">
        <v>0.14285714285714285</v>
      </c>
      <c r="W48" s="16">
        <v>0</v>
      </c>
      <c r="X48" s="17">
        <v>0</v>
      </c>
      <c r="Y48" s="17">
        <v>0</v>
      </c>
      <c r="Z48" s="17">
        <v>0</v>
      </c>
      <c r="AA48" s="17">
        <v>1</v>
      </c>
      <c r="AB48" s="17">
        <v>0</v>
      </c>
      <c r="AC48" s="17">
        <v>0</v>
      </c>
      <c r="AD48" s="17">
        <v>0</v>
      </c>
      <c r="AE48" s="17">
        <v>0</v>
      </c>
      <c r="AF48" s="17">
        <v>0</v>
      </c>
      <c r="AG48" s="18">
        <v>0</v>
      </c>
      <c r="AI48" s="16">
        <v>0</v>
      </c>
      <c r="AJ48" s="17">
        <v>0</v>
      </c>
      <c r="AK48" s="17">
        <v>0</v>
      </c>
      <c r="AL48" s="17">
        <v>0</v>
      </c>
      <c r="AM48" s="17">
        <v>1</v>
      </c>
      <c r="AN48" s="17">
        <v>0</v>
      </c>
      <c r="AO48" s="17">
        <v>0</v>
      </c>
      <c r="AP48" s="17">
        <v>0</v>
      </c>
      <c r="AQ48" s="17">
        <v>0</v>
      </c>
      <c r="AR48" s="17">
        <v>0</v>
      </c>
      <c r="AS48" s="17">
        <v>0</v>
      </c>
      <c r="AT48" s="17">
        <v>0</v>
      </c>
      <c r="AU48" s="17">
        <v>0</v>
      </c>
      <c r="AV48" s="17">
        <v>0</v>
      </c>
      <c r="AW48" s="17">
        <v>0</v>
      </c>
      <c r="AX48" s="17">
        <v>0</v>
      </c>
      <c r="AY48" s="17">
        <v>0</v>
      </c>
      <c r="AZ48" s="17">
        <v>0</v>
      </c>
      <c r="BA48" s="17">
        <v>0</v>
      </c>
      <c r="BB48" s="17">
        <v>0</v>
      </c>
      <c r="BC48" s="17">
        <v>0</v>
      </c>
      <c r="BD48" s="17">
        <v>0</v>
      </c>
      <c r="BE48" s="17">
        <v>0</v>
      </c>
      <c r="BF48" s="17">
        <v>0</v>
      </c>
      <c r="BG48" s="17">
        <v>0</v>
      </c>
      <c r="BH48" s="17">
        <v>0</v>
      </c>
      <c r="BI48" s="17">
        <v>0</v>
      </c>
      <c r="BJ48" s="17">
        <v>0</v>
      </c>
      <c r="BK48" s="17">
        <v>0</v>
      </c>
      <c r="BL48" s="17">
        <v>0</v>
      </c>
      <c r="BM48" s="17">
        <v>0</v>
      </c>
      <c r="BN48" s="17">
        <v>0</v>
      </c>
      <c r="BO48" s="17">
        <v>0</v>
      </c>
      <c r="BP48" s="17">
        <v>0</v>
      </c>
      <c r="BQ48" s="17">
        <v>0</v>
      </c>
      <c r="BR48" s="17">
        <v>0</v>
      </c>
      <c r="BS48" s="17">
        <v>0</v>
      </c>
      <c r="BT48" s="17">
        <v>0</v>
      </c>
      <c r="BU48" s="17">
        <v>0</v>
      </c>
      <c r="BV48" s="17">
        <v>0</v>
      </c>
      <c r="BW48" s="17">
        <v>0</v>
      </c>
      <c r="BX48" s="17">
        <v>0</v>
      </c>
      <c r="BY48" s="17">
        <v>0</v>
      </c>
      <c r="BZ48" s="17">
        <v>0</v>
      </c>
      <c r="CA48" s="17">
        <v>0</v>
      </c>
      <c r="CB48" s="17">
        <v>0</v>
      </c>
      <c r="CC48" s="17">
        <v>0</v>
      </c>
      <c r="CD48" s="17">
        <v>0</v>
      </c>
      <c r="CE48" s="17">
        <v>0</v>
      </c>
      <c r="CF48" s="17">
        <v>0</v>
      </c>
      <c r="CG48" s="17">
        <v>0</v>
      </c>
      <c r="CH48" s="17">
        <v>0</v>
      </c>
      <c r="CI48" s="17">
        <v>0</v>
      </c>
      <c r="CJ48" s="17">
        <v>0</v>
      </c>
      <c r="CK48" s="18">
        <v>0</v>
      </c>
    </row>
    <row r="49" spans="1:89">
      <c r="A49" s="5" t="s">
        <v>40</v>
      </c>
      <c r="B49" s="44" t="s">
        <v>41</v>
      </c>
      <c r="C49" s="6" t="s">
        <v>46</v>
      </c>
      <c r="D49" s="5">
        <v>34</v>
      </c>
      <c r="E49" s="31">
        <v>0.11484245372344282</v>
      </c>
      <c r="F49" s="38">
        <f t="shared" si="2"/>
        <v>0</v>
      </c>
      <c r="J49" s="44">
        <v>34</v>
      </c>
      <c r="K49" s="54">
        <v>0</v>
      </c>
      <c r="L49" s="17">
        <f t="shared" si="0"/>
        <v>0</v>
      </c>
      <c r="M49" s="52">
        <f t="shared" si="3"/>
        <v>0</v>
      </c>
      <c r="N49" s="18">
        <f t="shared" si="1"/>
        <v>0</v>
      </c>
      <c r="Q49" s="56">
        <v>-5.1691070146937896E-3</v>
      </c>
      <c r="R49" s="60">
        <v>3.8527443417859998E-2</v>
      </c>
      <c r="S49" s="16">
        <v>9</v>
      </c>
      <c r="T49" s="17">
        <v>4</v>
      </c>
      <c r="U49" s="18">
        <v>0.14285714285714285</v>
      </c>
      <c r="W49" s="16">
        <v>0</v>
      </c>
      <c r="X49" s="17">
        <v>0</v>
      </c>
      <c r="Y49" s="17">
        <v>0</v>
      </c>
      <c r="Z49" s="17">
        <v>0</v>
      </c>
      <c r="AA49" s="17">
        <v>1</v>
      </c>
      <c r="AB49" s="17">
        <v>0</v>
      </c>
      <c r="AC49" s="17">
        <v>0</v>
      </c>
      <c r="AD49" s="17">
        <v>0</v>
      </c>
      <c r="AE49" s="17">
        <v>0</v>
      </c>
      <c r="AF49" s="17">
        <v>0</v>
      </c>
      <c r="AG49" s="18">
        <v>0</v>
      </c>
      <c r="AI49" s="16">
        <v>0</v>
      </c>
      <c r="AJ49" s="17">
        <v>0</v>
      </c>
      <c r="AK49" s="17">
        <v>0</v>
      </c>
      <c r="AL49" s="17">
        <v>0</v>
      </c>
      <c r="AM49" s="17">
        <v>1</v>
      </c>
      <c r="AN49" s="17">
        <v>0</v>
      </c>
      <c r="AO49" s="17">
        <v>0</v>
      </c>
      <c r="AP49" s="17">
        <v>0</v>
      </c>
      <c r="AQ49" s="17">
        <v>0</v>
      </c>
      <c r="AR49" s="17">
        <v>0</v>
      </c>
      <c r="AS49" s="17">
        <v>0</v>
      </c>
      <c r="AT49" s="17">
        <v>0</v>
      </c>
      <c r="AU49" s="17">
        <v>0</v>
      </c>
      <c r="AV49" s="17">
        <v>0</v>
      </c>
      <c r="AW49" s="17">
        <v>0</v>
      </c>
      <c r="AX49" s="17">
        <v>0</v>
      </c>
      <c r="AY49" s="17">
        <v>0</v>
      </c>
      <c r="AZ49" s="17">
        <v>0</v>
      </c>
      <c r="BA49" s="17">
        <v>0</v>
      </c>
      <c r="BB49" s="17">
        <v>0</v>
      </c>
      <c r="BC49" s="17">
        <v>0</v>
      </c>
      <c r="BD49" s="17">
        <v>0</v>
      </c>
      <c r="BE49" s="17">
        <v>0</v>
      </c>
      <c r="BF49" s="17">
        <v>0</v>
      </c>
      <c r="BG49" s="17">
        <v>0</v>
      </c>
      <c r="BH49" s="17">
        <v>0</v>
      </c>
      <c r="BI49" s="17">
        <v>0</v>
      </c>
      <c r="BJ49" s="17">
        <v>0</v>
      </c>
      <c r="BK49" s="17">
        <v>0</v>
      </c>
      <c r="BL49" s="17">
        <v>0</v>
      </c>
      <c r="BM49" s="17">
        <v>0</v>
      </c>
      <c r="BN49" s="17">
        <v>0</v>
      </c>
      <c r="BO49" s="17">
        <v>0</v>
      </c>
      <c r="BP49" s="17">
        <v>0</v>
      </c>
      <c r="BQ49" s="17">
        <v>0</v>
      </c>
      <c r="BR49" s="17">
        <v>0</v>
      </c>
      <c r="BS49" s="17">
        <v>0</v>
      </c>
      <c r="BT49" s="17">
        <v>0</v>
      </c>
      <c r="BU49" s="17">
        <v>0</v>
      </c>
      <c r="BV49" s="17">
        <v>0</v>
      </c>
      <c r="BW49" s="17">
        <v>0</v>
      </c>
      <c r="BX49" s="17">
        <v>0</v>
      </c>
      <c r="BY49" s="17">
        <v>0</v>
      </c>
      <c r="BZ49" s="17">
        <v>0</v>
      </c>
      <c r="CA49" s="17">
        <v>0</v>
      </c>
      <c r="CB49" s="17">
        <v>0</v>
      </c>
      <c r="CC49" s="17">
        <v>0</v>
      </c>
      <c r="CD49" s="17">
        <v>0</v>
      </c>
      <c r="CE49" s="17">
        <v>0</v>
      </c>
      <c r="CF49" s="17">
        <v>0</v>
      </c>
      <c r="CG49" s="17">
        <v>0</v>
      </c>
      <c r="CH49" s="17">
        <v>0</v>
      </c>
      <c r="CI49" s="17">
        <v>0</v>
      </c>
      <c r="CJ49" s="17">
        <v>0</v>
      </c>
      <c r="CK49" s="18">
        <v>0</v>
      </c>
    </row>
    <row r="50" spans="1:89">
      <c r="A50" s="5" t="s">
        <v>40</v>
      </c>
      <c r="B50" s="44" t="s">
        <v>41</v>
      </c>
      <c r="C50" s="6" t="s">
        <v>47</v>
      </c>
      <c r="D50" s="5">
        <v>35</v>
      </c>
      <c r="E50" s="31">
        <v>7.8573928710932731E-2</v>
      </c>
      <c r="F50" s="38">
        <f t="shared" si="2"/>
        <v>0</v>
      </c>
      <c r="J50" s="44">
        <v>35</v>
      </c>
      <c r="K50" s="54">
        <v>0</v>
      </c>
      <c r="L50" s="17">
        <f t="shared" si="0"/>
        <v>0</v>
      </c>
      <c r="M50" s="52">
        <f t="shared" si="3"/>
        <v>0</v>
      </c>
      <c r="N50" s="18">
        <f t="shared" si="1"/>
        <v>0</v>
      </c>
      <c r="Q50" s="56">
        <v>-3.2174545220801402E-3</v>
      </c>
      <c r="R50" s="60">
        <v>0</v>
      </c>
      <c r="S50" s="16">
        <v>9</v>
      </c>
      <c r="T50" s="17">
        <v>5</v>
      </c>
      <c r="U50" s="18">
        <v>0.14285714285714285</v>
      </c>
      <c r="W50" s="16">
        <v>0</v>
      </c>
      <c r="X50" s="17">
        <v>0</v>
      </c>
      <c r="Y50" s="17">
        <v>0</v>
      </c>
      <c r="Z50" s="17">
        <v>0</v>
      </c>
      <c r="AA50" s="17">
        <v>1</v>
      </c>
      <c r="AB50" s="17">
        <v>0</v>
      </c>
      <c r="AC50" s="17">
        <v>0</v>
      </c>
      <c r="AD50" s="17">
        <v>0</v>
      </c>
      <c r="AE50" s="17">
        <v>0</v>
      </c>
      <c r="AF50" s="17">
        <v>0</v>
      </c>
      <c r="AG50" s="18">
        <v>0</v>
      </c>
      <c r="AI50" s="16">
        <v>0</v>
      </c>
      <c r="AJ50" s="17">
        <v>0</v>
      </c>
      <c r="AK50" s="17">
        <v>0</v>
      </c>
      <c r="AL50" s="17">
        <v>0</v>
      </c>
      <c r="AM50" s="17">
        <v>1</v>
      </c>
      <c r="AN50" s="17">
        <v>0</v>
      </c>
      <c r="AO50" s="17">
        <v>0</v>
      </c>
      <c r="AP50" s="17">
        <v>0</v>
      </c>
      <c r="AQ50" s="17">
        <v>0</v>
      </c>
      <c r="AR50" s="17">
        <v>0</v>
      </c>
      <c r="AS50" s="17">
        <v>0</v>
      </c>
      <c r="AT50" s="17">
        <v>0</v>
      </c>
      <c r="AU50" s="17">
        <v>0</v>
      </c>
      <c r="AV50" s="17">
        <v>0</v>
      </c>
      <c r="AW50" s="17">
        <v>0</v>
      </c>
      <c r="AX50" s="17">
        <v>0</v>
      </c>
      <c r="AY50" s="17">
        <v>0</v>
      </c>
      <c r="AZ50" s="17">
        <v>0</v>
      </c>
      <c r="BA50" s="17">
        <v>0</v>
      </c>
      <c r="BB50" s="17">
        <v>0</v>
      </c>
      <c r="BC50" s="17">
        <v>0</v>
      </c>
      <c r="BD50" s="17">
        <v>0</v>
      </c>
      <c r="BE50" s="17">
        <v>0</v>
      </c>
      <c r="BF50" s="17">
        <v>0</v>
      </c>
      <c r="BG50" s="17">
        <v>0</v>
      </c>
      <c r="BH50" s="17">
        <v>0</v>
      </c>
      <c r="BI50" s="17">
        <v>0</v>
      </c>
      <c r="BJ50" s="17">
        <v>0</v>
      </c>
      <c r="BK50" s="17">
        <v>0</v>
      </c>
      <c r="BL50" s="17">
        <v>0</v>
      </c>
      <c r="BM50" s="17">
        <v>0</v>
      </c>
      <c r="BN50" s="17">
        <v>0</v>
      </c>
      <c r="BO50" s="17">
        <v>0</v>
      </c>
      <c r="BP50" s="17">
        <v>0</v>
      </c>
      <c r="BQ50" s="17">
        <v>0</v>
      </c>
      <c r="BR50" s="17">
        <v>0</v>
      </c>
      <c r="BS50" s="17">
        <v>0</v>
      </c>
      <c r="BT50" s="17">
        <v>0</v>
      </c>
      <c r="BU50" s="17">
        <v>0</v>
      </c>
      <c r="BV50" s="17">
        <v>0</v>
      </c>
      <c r="BW50" s="17">
        <v>0</v>
      </c>
      <c r="BX50" s="17">
        <v>0</v>
      </c>
      <c r="BY50" s="17">
        <v>0</v>
      </c>
      <c r="BZ50" s="17">
        <v>0</v>
      </c>
      <c r="CA50" s="17">
        <v>0</v>
      </c>
      <c r="CB50" s="17">
        <v>0</v>
      </c>
      <c r="CC50" s="17">
        <v>0</v>
      </c>
      <c r="CD50" s="17">
        <v>0</v>
      </c>
      <c r="CE50" s="17">
        <v>0</v>
      </c>
      <c r="CF50" s="17">
        <v>0</v>
      </c>
      <c r="CG50" s="17">
        <v>0</v>
      </c>
      <c r="CH50" s="17">
        <v>0</v>
      </c>
      <c r="CI50" s="17">
        <v>0</v>
      </c>
      <c r="CJ50" s="17">
        <v>0</v>
      </c>
      <c r="CK50" s="18">
        <v>0</v>
      </c>
    </row>
    <row r="51" spans="1:89">
      <c r="A51" s="5" t="s">
        <v>23</v>
      </c>
      <c r="B51" s="44" t="s">
        <v>48</v>
      </c>
      <c r="C51" s="6" t="s">
        <v>49</v>
      </c>
      <c r="D51" s="5">
        <v>36</v>
      </c>
      <c r="E51" s="31">
        <v>0.129124174252674</v>
      </c>
      <c r="F51" s="38">
        <f t="shared" si="2"/>
        <v>0</v>
      </c>
      <c r="J51" s="44">
        <v>36</v>
      </c>
      <c r="K51" s="54">
        <v>0</v>
      </c>
      <c r="L51" s="17">
        <f t="shared" si="0"/>
        <v>0</v>
      </c>
      <c r="M51" s="52">
        <f t="shared" si="3"/>
        <v>0</v>
      </c>
      <c r="N51" s="18">
        <f t="shared" si="1"/>
        <v>0</v>
      </c>
      <c r="Q51" s="56">
        <v>-3.5795194524288298E-3</v>
      </c>
      <c r="R51" s="60">
        <v>0</v>
      </c>
      <c r="S51" s="16">
        <v>9</v>
      </c>
      <c r="T51" s="17">
        <v>6</v>
      </c>
      <c r="U51" s="18">
        <v>0.14285714285714285</v>
      </c>
      <c r="W51" s="16">
        <v>0</v>
      </c>
      <c r="X51" s="17">
        <v>0</v>
      </c>
      <c r="Y51" s="17">
        <v>0</v>
      </c>
      <c r="Z51" s="17">
        <v>0</v>
      </c>
      <c r="AA51" s="17">
        <v>0</v>
      </c>
      <c r="AB51" s="17">
        <v>1</v>
      </c>
      <c r="AC51" s="17">
        <v>0</v>
      </c>
      <c r="AD51" s="17">
        <v>0</v>
      </c>
      <c r="AE51" s="17">
        <v>0</v>
      </c>
      <c r="AF51" s="17">
        <v>0</v>
      </c>
      <c r="AG51" s="18">
        <v>0</v>
      </c>
      <c r="AI51" s="16">
        <v>0</v>
      </c>
      <c r="AJ51" s="17">
        <v>0</v>
      </c>
      <c r="AK51" s="17">
        <v>0</v>
      </c>
      <c r="AL51" s="17">
        <v>0</v>
      </c>
      <c r="AM51" s="17">
        <v>0</v>
      </c>
      <c r="AN51" s="17">
        <v>1</v>
      </c>
      <c r="AO51" s="17">
        <v>0</v>
      </c>
      <c r="AP51" s="17">
        <v>0</v>
      </c>
      <c r="AQ51" s="17">
        <v>0</v>
      </c>
      <c r="AR51" s="17">
        <v>0</v>
      </c>
      <c r="AS51" s="17">
        <v>0</v>
      </c>
      <c r="AT51" s="17">
        <v>0</v>
      </c>
      <c r="AU51" s="17">
        <v>0</v>
      </c>
      <c r="AV51" s="17">
        <v>0</v>
      </c>
      <c r="AW51" s="17">
        <v>0</v>
      </c>
      <c r="AX51" s="17">
        <v>0</v>
      </c>
      <c r="AY51" s="17">
        <v>0</v>
      </c>
      <c r="AZ51" s="17">
        <v>0</v>
      </c>
      <c r="BA51" s="17">
        <v>0</v>
      </c>
      <c r="BB51" s="17">
        <v>0</v>
      </c>
      <c r="BC51" s="17">
        <v>0</v>
      </c>
      <c r="BD51" s="17">
        <v>0</v>
      </c>
      <c r="BE51" s="17">
        <v>0</v>
      </c>
      <c r="BF51" s="17">
        <v>0</v>
      </c>
      <c r="BG51" s="17">
        <v>0</v>
      </c>
      <c r="BH51" s="17">
        <v>0</v>
      </c>
      <c r="BI51" s="17">
        <v>0</v>
      </c>
      <c r="BJ51" s="17">
        <v>0</v>
      </c>
      <c r="BK51" s="17">
        <v>0</v>
      </c>
      <c r="BL51" s="17">
        <v>0</v>
      </c>
      <c r="BM51" s="17">
        <v>0</v>
      </c>
      <c r="BN51" s="17">
        <v>0</v>
      </c>
      <c r="BO51" s="17">
        <v>0</v>
      </c>
      <c r="BP51" s="17">
        <v>0</v>
      </c>
      <c r="BQ51" s="17">
        <v>0</v>
      </c>
      <c r="BR51" s="17">
        <v>0</v>
      </c>
      <c r="BS51" s="17">
        <v>0</v>
      </c>
      <c r="BT51" s="17">
        <v>0</v>
      </c>
      <c r="BU51" s="17">
        <v>0</v>
      </c>
      <c r="BV51" s="17">
        <v>0</v>
      </c>
      <c r="BW51" s="17">
        <v>0</v>
      </c>
      <c r="BX51" s="17">
        <v>0</v>
      </c>
      <c r="BY51" s="17">
        <v>0</v>
      </c>
      <c r="BZ51" s="17">
        <v>0</v>
      </c>
      <c r="CA51" s="17">
        <v>0</v>
      </c>
      <c r="CB51" s="17">
        <v>0</v>
      </c>
      <c r="CC51" s="17">
        <v>0</v>
      </c>
      <c r="CD51" s="17">
        <v>0</v>
      </c>
      <c r="CE51" s="17">
        <v>0</v>
      </c>
      <c r="CF51" s="17">
        <v>0</v>
      </c>
      <c r="CG51" s="17">
        <v>0</v>
      </c>
      <c r="CH51" s="17">
        <v>0</v>
      </c>
      <c r="CI51" s="17">
        <v>0</v>
      </c>
      <c r="CJ51" s="17">
        <v>0</v>
      </c>
      <c r="CK51" s="18">
        <v>0</v>
      </c>
    </row>
    <row r="52" spans="1:89">
      <c r="A52" s="5" t="s">
        <v>23</v>
      </c>
      <c r="B52" s="44" t="s">
        <v>48</v>
      </c>
      <c r="C52" s="6" t="s">
        <v>50</v>
      </c>
      <c r="D52" s="5">
        <v>37</v>
      </c>
      <c r="E52" s="31">
        <v>0.12888809253814318</v>
      </c>
      <c r="F52" s="38">
        <f t="shared" si="2"/>
        <v>0</v>
      </c>
      <c r="J52" s="44">
        <v>37</v>
      </c>
      <c r="K52" s="54">
        <v>0</v>
      </c>
      <c r="L52" s="17">
        <f t="shared" si="0"/>
        <v>0</v>
      </c>
      <c r="M52" s="52">
        <f t="shared" si="3"/>
        <v>0</v>
      </c>
      <c r="N52" s="18">
        <f t="shared" si="1"/>
        <v>0</v>
      </c>
      <c r="Q52" s="56">
        <v>-4.0248277772671603E-3</v>
      </c>
      <c r="R52" s="60">
        <v>0</v>
      </c>
      <c r="S52" s="16">
        <v>9</v>
      </c>
      <c r="T52" s="17">
        <v>10</v>
      </c>
      <c r="U52" s="18">
        <v>0.14285714285714285</v>
      </c>
      <c r="W52" s="16">
        <v>0</v>
      </c>
      <c r="X52" s="17">
        <v>0</v>
      </c>
      <c r="Y52" s="17">
        <v>0</v>
      </c>
      <c r="Z52" s="17">
        <v>0</v>
      </c>
      <c r="AA52" s="17">
        <v>0</v>
      </c>
      <c r="AB52" s="17">
        <v>1</v>
      </c>
      <c r="AC52" s="17">
        <v>0</v>
      </c>
      <c r="AD52" s="17">
        <v>0</v>
      </c>
      <c r="AE52" s="17">
        <v>0</v>
      </c>
      <c r="AF52" s="17">
        <v>0</v>
      </c>
      <c r="AG52" s="18">
        <v>0</v>
      </c>
      <c r="AI52" s="16">
        <v>0</v>
      </c>
      <c r="AJ52" s="17">
        <v>0</v>
      </c>
      <c r="AK52" s="17">
        <v>0</v>
      </c>
      <c r="AL52" s="17">
        <v>0</v>
      </c>
      <c r="AM52" s="17">
        <v>0</v>
      </c>
      <c r="AN52" s="17">
        <v>1</v>
      </c>
      <c r="AO52" s="17">
        <v>0</v>
      </c>
      <c r="AP52" s="17">
        <v>0</v>
      </c>
      <c r="AQ52" s="17">
        <v>0</v>
      </c>
      <c r="AR52" s="17">
        <v>0</v>
      </c>
      <c r="AS52" s="17">
        <v>0</v>
      </c>
      <c r="AT52" s="17">
        <v>0</v>
      </c>
      <c r="AU52" s="17">
        <v>0</v>
      </c>
      <c r="AV52" s="17">
        <v>0</v>
      </c>
      <c r="AW52" s="17">
        <v>0</v>
      </c>
      <c r="AX52" s="17">
        <v>0</v>
      </c>
      <c r="AY52" s="17">
        <v>0</v>
      </c>
      <c r="AZ52" s="17">
        <v>0</v>
      </c>
      <c r="BA52" s="17">
        <v>0</v>
      </c>
      <c r="BB52" s="17">
        <v>0</v>
      </c>
      <c r="BC52" s="17">
        <v>0</v>
      </c>
      <c r="BD52" s="17">
        <v>0</v>
      </c>
      <c r="BE52" s="17">
        <v>0</v>
      </c>
      <c r="BF52" s="17">
        <v>0</v>
      </c>
      <c r="BG52" s="17">
        <v>0</v>
      </c>
      <c r="BH52" s="17">
        <v>0</v>
      </c>
      <c r="BI52" s="17">
        <v>0</v>
      </c>
      <c r="BJ52" s="17">
        <v>0</v>
      </c>
      <c r="BK52" s="17">
        <v>0</v>
      </c>
      <c r="BL52" s="17">
        <v>0</v>
      </c>
      <c r="BM52" s="17">
        <v>0</v>
      </c>
      <c r="BN52" s="17">
        <v>0</v>
      </c>
      <c r="BO52" s="17">
        <v>0</v>
      </c>
      <c r="BP52" s="17">
        <v>0</v>
      </c>
      <c r="BQ52" s="17">
        <v>0</v>
      </c>
      <c r="BR52" s="17">
        <v>0</v>
      </c>
      <c r="BS52" s="17">
        <v>0</v>
      </c>
      <c r="BT52" s="17">
        <v>0</v>
      </c>
      <c r="BU52" s="17">
        <v>0</v>
      </c>
      <c r="BV52" s="17">
        <v>0</v>
      </c>
      <c r="BW52" s="17">
        <v>0</v>
      </c>
      <c r="BX52" s="17">
        <v>0</v>
      </c>
      <c r="BY52" s="17">
        <v>0</v>
      </c>
      <c r="BZ52" s="17">
        <v>0</v>
      </c>
      <c r="CA52" s="17">
        <v>0</v>
      </c>
      <c r="CB52" s="17">
        <v>0</v>
      </c>
      <c r="CC52" s="17">
        <v>0</v>
      </c>
      <c r="CD52" s="17">
        <v>0</v>
      </c>
      <c r="CE52" s="17">
        <v>0</v>
      </c>
      <c r="CF52" s="17">
        <v>0</v>
      </c>
      <c r="CG52" s="17">
        <v>0</v>
      </c>
      <c r="CH52" s="17">
        <v>0</v>
      </c>
      <c r="CI52" s="17">
        <v>0</v>
      </c>
      <c r="CJ52" s="17">
        <v>0</v>
      </c>
      <c r="CK52" s="18">
        <v>0</v>
      </c>
    </row>
    <row r="53" spans="1:89">
      <c r="A53" s="5" t="s">
        <v>23</v>
      </c>
      <c r="B53" s="44" t="s">
        <v>48</v>
      </c>
      <c r="C53" s="6" t="s">
        <v>51</v>
      </c>
      <c r="D53" s="5">
        <v>38</v>
      </c>
      <c r="E53" s="31">
        <v>0.12922537799894016</v>
      </c>
      <c r="F53" s="38">
        <f t="shared" si="2"/>
        <v>0</v>
      </c>
      <c r="J53" s="44">
        <v>38</v>
      </c>
      <c r="K53" s="54">
        <v>0</v>
      </c>
      <c r="L53" s="17">
        <f t="shared" si="0"/>
        <v>0</v>
      </c>
      <c r="M53" s="52">
        <f t="shared" si="3"/>
        <v>0</v>
      </c>
      <c r="N53" s="18">
        <f t="shared" si="1"/>
        <v>0</v>
      </c>
      <c r="Q53" s="56">
        <v>-7.9943835874686908E-3</v>
      </c>
      <c r="R53" s="60">
        <v>0</v>
      </c>
      <c r="S53" s="16">
        <v>9</v>
      </c>
      <c r="T53" s="17">
        <v>11</v>
      </c>
      <c r="U53" s="18">
        <v>0.14285714285714285</v>
      </c>
      <c r="W53" s="16">
        <v>0</v>
      </c>
      <c r="X53" s="17">
        <v>0</v>
      </c>
      <c r="Y53" s="17">
        <v>0</v>
      </c>
      <c r="Z53" s="17">
        <v>0</v>
      </c>
      <c r="AA53" s="17">
        <v>0</v>
      </c>
      <c r="AB53" s="17">
        <v>1</v>
      </c>
      <c r="AC53" s="17">
        <v>0</v>
      </c>
      <c r="AD53" s="17">
        <v>0</v>
      </c>
      <c r="AE53" s="17">
        <v>0</v>
      </c>
      <c r="AF53" s="17">
        <v>0</v>
      </c>
      <c r="AG53" s="18">
        <v>0</v>
      </c>
      <c r="AI53" s="16">
        <v>0</v>
      </c>
      <c r="AJ53" s="17">
        <v>0</v>
      </c>
      <c r="AK53" s="17">
        <v>0</v>
      </c>
      <c r="AL53" s="17">
        <v>0</v>
      </c>
      <c r="AM53" s="17">
        <v>0</v>
      </c>
      <c r="AN53" s="17">
        <v>1</v>
      </c>
      <c r="AO53" s="17">
        <v>0</v>
      </c>
      <c r="AP53" s="17">
        <v>0</v>
      </c>
      <c r="AQ53" s="17">
        <v>0</v>
      </c>
      <c r="AR53" s="17">
        <v>0</v>
      </c>
      <c r="AS53" s="17">
        <v>0</v>
      </c>
      <c r="AT53" s="17">
        <v>0</v>
      </c>
      <c r="AU53" s="17">
        <v>0</v>
      </c>
      <c r="AV53" s="17">
        <v>0</v>
      </c>
      <c r="AW53" s="17">
        <v>0</v>
      </c>
      <c r="AX53" s="17">
        <v>0</v>
      </c>
      <c r="AY53" s="17">
        <v>0</v>
      </c>
      <c r="AZ53" s="17">
        <v>0</v>
      </c>
      <c r="BA53" s="17">
        <v>0</v>
      </c>
      <c r="BB53" s="17">
        <v>0</v>
      </c>
      <c r="BC53" s="17">
        <v>0</v>
      </c>
      <c r="BD53" s="17">
        <v>0</v>
      </c>
      <c r="BE53" s="17">
        <v>0</v>
      </c>
      <c r="BF53" s="17">
        <v>0</v>
      </c>
      <c r="BG53" s="17">
        <v>0</v>
      </c>
      <c r="BH53" s="17">
        <v>0</v>
      </c>
      <c r="BI53" s="17">
        <v>0</v>
      </c>
      <c r="BJ53" s="17">
        <v>0</v>
      </c>
      <c r="BK53" s="17">
        <v>0</v>
      </c>
      <c r="BL53" s="17">
        <v>0</v>
      </c>
      <c r="BM53" s="17">
        <v>0</v>
      </c>
      <c r="BN53" s="17">
        <v>0</v>
      </c>
      <c r="BO53" s="17">
        <v>0</v>
      </c>
      <c r="BP53" s="17">
        <v>0</v>
      </c>
      <c r="BQ53" s="17">
        <v>0</v>
      </c>
      <c r="BR53" s="17">
        <v>0</v>
      </c>
      <c r="BS53" s="17">
        <v>0</v>
      </c>
      <c r="BT53" s="17">
        <v>0</v>
      </c>
      <c r="BU53" s="17">
        <v>0</v>
      </c>
      <c r="BV53" s="17">
        <v>0</v>
      </c>
      <c r="BW53" s="17">
        <v>0</v>
      </c>
      <c r="BX53" s="17">
        <v>0</v>
      </c>
      <c r="BY53" s="17">
        <v>0</v>
      </c>
      <c r="BZ53" s="17">
        <v>0</v>
      </c>
      <c r="CA53" s="17">
        <v>0</v>
      </c>
      <c r="CB53" s="17">
        <v>0</v>
      </c>
      <c r="CC53" s="17">
        <v>0</v>
      </c>
      <c r="CD53" s="17">
        <v>0</v>
      </c>
      <c r="CE53" s="17">
        <v>0</v>
      </c>
      <c r="CF53" s="17">
        <v>0</v>
      </c>
      <c r="CG53" s="17">
        <v>0</v>
      </c>
      <c r="CH53" s="17">
        <v>0</v>
      </c>
      <c r="CI53" s="17">
        <v>0</v>
      </c>
      <c r="CJ53" s="17">
        <v>0</v>
      </c>
      <c r="CK53" s="18">
        <v>0</v>
      </c>
    </row>
    <row r="54" spans="1:89">
      <c r="A54" s="5" t="s">
        <v>23</v>
      </c>
      <c r="B54" s="44" t="s">
        <v>48</v>
      </c>
      <c r="C54" s="6" t="s">
        <v>54</v>
      </c>
      <c r="D54" s="5">
        <v>39</v>
      </c>
      <c r="E54" s="31">
        <v>0.12883155055938389</v>
      </c>
      <c r="F54" s="38">
        <f t="shared" si="2"/>
        <v>0</v>
      </c>
      <c r="J54" s="44">
        <v>39</v>
      </c>
      <c r="K54" s="54">
        <v>0</v>
      </c>
      <c r="L54" s="17">
        <f t="shared" si="0"/>
        <v>0</v>
      </c>
      <c r="M54" s="52">
        <f t="shared" si="3"/>
        <v>0</v>
      </c>
      <c r="N54" s="18">
        <f t="shared" si="1"/>
        <v>0</v>
      </c>
      <c r="Q54" s="56">
        <v>-8.27730156038777E-3</v>
      </c>
      <c r="R54" s="60">
        <v>0</v>
      </c>
      <c r="S54" s="16">
        <v>9</v>
      </c>
      <c r="T54" s="17">
        <v>83</v>
      </c>
      <c r="U54" s="18">
        <v>0.14285714285714285</v>
      </c>
      <c r="W54" s="16">
        <v>0</v>
      </c>
      <c r="X54" s="17">
        <v>0</v>
      </c>
      <c r="Y54" s="17">
        <v>0</v>
      </c>
      <c r="Z54" s="17">
        <v>0</v>
      </c>
      <c r="AA54" s="17">
        <v>0</v>
      </c>
      <c r="AB54" s="17">
        <v>1</v>
      </c>
      <c r="AC54" s="17">
        <v>0</v>
      </c>
      <c r="AD54" s="17">
        <v>0</v>
      </c>
      <c r="AE54" s="17">
        <v>0</v>
      </c>
      <c r="AF54" s="17">
        <v>0</v>
      </c>
      <c r="AG54" s="18">
        <v>0</v>
      </c>
      <c r="AI54" s="16">
        <v>0</v>
      </c>
      <c r="AJ54" s="17">
        <v>0</v>
      </c>
      <c r="AK54" s="17">
        <v>0</v>
      </c>
      <c r="AL54" s="17">
        <v>0</v>
      </c>
      <c r="AM54" s="17">
        <v>0</v>
      </c>
      <c r="AN54" s="17">
        <v>1</v>
      </c>
      <c r="AO54" s="17">
        <v>0</v>
      </c>
      <c r="AP54" s="17">
        <v>0</v>
      </c>
      <c r="AQ54" s="17">
        <v>0</v>
      </c>
      <c r="AR54" s="17">
        <v>0</v>
      </c>
      <c r="AS54" s="17">
        <v>0</v>
      </c>
      <c r="AT54" s="17">
        <v>0</v>
      </c>
      <c r="AU54" s="17">
        <v>0</v>
      </c>
      <c r="AV54" s="17">
        <v>0</v>
      </c>
      <c r="AW54" s="17">
        <v>0</v>
      </c>
      <c r="AX54" s="17">
        <v>0</v>
      </c>
      <c r="AY54" s="17">
        <v>0</v>
      </c>
      <c r="AZ54" s="17">
        <v>0</v>
      </c>
      <c r="BA54" s="17">
        <v>0</v>
      </c>
      <c r="BB54" s="17">
        <v>0</v>
      </c>
      <c r="BC54" s="17">
        <v>0</v>
      </c>
      <c r="BD54" s="17">
        <v>0</v>
      </c>
      <c r="BE54" s="17">
        <v>0</v>
      </c>
      <c r="BF54" s="17">
        <v>0</v>
      </c>
      <c r="BG54" s="17">
        <v>0</v>
      </c>
      <c r="BH54" s="17">
        <v>0</v>
      </c>
      <c r="BI54" s="17">
        <v>0</v>
      </c>
      <c r="BJ54" s="17">
        <v>0</v>
      </c>
      <c r="BK54" s="17">
        <v>0</v>
      </c>
      <c r="BL54" s="17">
        <v>0</v>
      </c>
      <c r="BM54" s="17">
        <v>0</v>
      </c>
      <c r="BN54" s="17">
        <v>0</v>
      </c>
      <c r="BO54" s="17">
        <v>0</v>
      </c>
      <c r="BP54" s="17">
        <v>0</v>
      </c>
      <c r="BQ54" s="17">
        <v>0</v>
      </c>
      <c r="BR54" s="17">
        <v>0</v>
      </c>
      <c r="BS54" s="17">
        <v>0</v>
      </c>
      <c r="BT54" s="17">
        <v>0</v>
      </c>
      <c r="BU54" s="17">
        <v>0</v>
      </c>
      <c r="BV54" s="17">
        <v>0</v>
      </c>
      <c r="BW54" s="17">
        <v>0</v>
      </c>
      <c r="BX54" s="17">
        <v>0</v>
      </c>
      <c r="BY54" s="17">
        <v>0</v>
      </c>
      <c r="BZ54" s="17">
        <v>0</v>
      </c>
      <c r="CA54" s="17">
        <v>0</v>
      </c>
      <c r="CB54" s="17">
        <v>0</v>
      </c>
      <c r="CC54" s="17">
        <v>0</v>
      </c>
      <c r="CD54" s="17">
        <v>0</v>
      </c>
      <c r="CE54" s="17">
        <v>0</v>
      </c>
      <c r="CF54" s="17">
        <v>0</v>
      </c>
      <c r="CG54" s="17">
        <v>0</v>
      </c>
      <c r="CH54" s="17">
        <v>0</v>
      </c>
      <c r="CI54" s="17">
        <v>0</v>
      </c>
      <c r="CJ54" s="17">
        <v>0</v>
      </c>
      <c r="CK54" s="18">
        <v>0</v>
      </c>
    </row>
    <row r="55" spans="1:89">
      <c r="A55" s="5" t="s">
        <v>23</v>
      </c>
      <c r="B55" s="44" t="s">
        <v>48</v>
      </c>
      <c r="C55" s="6" t="s">
        <v>55</v>
      </c>
      <c r="D55" s="5">
        <v>40</v>
      </c>
      <c r="E55" s="31">
        <v>0.12922380640920117</v>
      </c>
      <c r="F55" s="38">
        <f t="shared" si="2"/>
        <v>0</v>
      </c>
      <c r="J55" s="44">
        <v>40</v>
      </c>
      <c r="K55" s="54">
        <v>0</v>
      </c>
      <c r="L55" s="17">
        <f t="shared" si="0"/>
        <v>0</v>
      </c>
      <c r="M55" s="52">
        <f t="shared" si="3"/>
        <v>0</v>
      </c>
      <c r="N55" s="18">
        <f t="shared" si="1"/>
        <v>0</v>
      </c>
      <c r="Q55" s="56">
        <v>-7.5170922137469901E-3</v>
      </c>
      <c r="R55" s="60">
        <v>0</v>
      </c>
      <c r="S55" s="16">
        <v>10</v>
      </c>
      <c r="T55" s="17">
        <v>3</v>
      </c>
      <c r="U55" s="18">
        <v>0.1111111111111111</v>
      </c>
      <c r="W55" s="16">
        <v>0</v>
      </c>
      <c r="X55" s="17">
        <v>0</v>
      </c>
      <c r="Y55" s="17">
        <v>0</v>
      </c>
      <c r="Z55" s="17">
        <v>0</v>
      </c>
      <c r="AA55" s="17">
        <v>0</v>
      </c>
      <c r="AB55" s="17">
        <v>1</v>
      </c>
      <c r="AC55" s="17">
        <v>0</v>
      </c>
      <c r="AD55" s="17">
        <v>0</v>
      </c>
      <c r="AE55" s="17">
        <v>0</v>
      </c>
      <c r="AF55" s="17">
        <v>0</v>
      </c>
      <c r="AG55" s="18">
        <v>0</v>
      </c>
      <c r="AI55" s="16">
        <v>0</v>
      </c>
      <c r="AJ55" s="17">
        <v>0</v>
      </c>
      <c r="AK55" s="17">
        <v>0</v>
      </c>
      <c r="AL55" s="17">
        <v>0</v>
      </c>
      <c r="AM55" s="17">
        <v>0</v>
      </c>
      <c r="AN55" s="17">
        <v>1</v>
      </c>
      <c r="AO55" s="17">
        <v>0</v>
      </c>
      <c r="AP55" s="17">
        <v>0</v>
      </c>
      <c r="AQ55" s="17">
        <v>0</v>
      </c>
      <c r="AR55" s="17">
        <v>0</v>
      </c>
      <c r="AS55" s="17">
        <v>0</v>
      </c>
      <c r="AT55" s="17">
        <v>0</v>
      </c>
      <c r="AU55" s="17">
        <v>0</v>
      </c>
      <c r="AV55" s="17">
        <v>0</v>
      </c>
      <c r="AW55" s="17">
        <v>0</v>
      </c>
      <c r="AX55" s="17">
        <v>0</v>
      </c>
      <c r="AY55" s="17">
        <v>0</v>
      </c>
      <c r="AZ55" s="17">
        <v>0</v>
      </c>
      <c r="BA55" s="17">
        <v>0</v>
      </c>
      <c r="BB55" s="17">
        <v>0</v>
      </c>
      <c r="BC55" s="17">
        <v>0</v>
      </c>
      <c r="BD55" s="17">
        <v>0</v>
      </c>
      <c r="BE55" s="17">
        <v>0</v>
      </c>
      <c r="BF55" s="17">
        <v>0</v>
      </c>
      <c r="BG55" s="17">
        <v>0</v>
      </c>
      <c r="BH55" s="17">
        <v>0</v>
      </c>
      <c r="BI55" s="17">
        <v>0</v>
      </c>
      <c r="BJ55" s="17">
        <v>0</v>
      </c>
      <c r="BK55" s="17">
        <v>0</v>
      </c>
      <c r="BL55" s="17">
        <v>0</v>
      </c>
      <c r="BM55" s="17">
        <v>0</v>
      </c>
      <c r="BN55" s="17">
        <v>0</v>
      </c>
      <c r="BO55" s="17">
        <v>0</v>
      </c>
      <c r="BP55" s="17">
        <v>0</v>
      </c>
      <c r="BQ55" s="17">
        <v>0</v>
      </c>
      <c r="BR55" s="17">
        <v>0</v>
      </c>
      <c r="BS55" s="17">
        <v>0</v>
      </c>
      <c r="BT55" s="17">
        <v>0</v>
      </c>
      <c r="BU55" s="17">
        <v>0</v>
      </c>
      <c r="BV55" s="17">
        <v>0</v>
      </c>
      <c r="BW55" s="17">
        <v>0</v>
      </c>
      <c r="BX55" s="17">
        <v>0</v>
      </c>
      <c r="BY55" s="17">
        <v>0</v>
      </c>
      <c r="BZ55" s="17">
        <v>0</v>
      </c>
      <c r="CA55" s="17">
        <v>0</v>
      </c>
      <c r="CB55" s="17">
        <v>0</v>
      </c>
      <c r="CC55" s="17">
        <v>0</v>
      </c>
      <c r="CD55" s="17">
        <v>0</v>
      </c>
      <c r="CE55" s="17">
        <v>0</v>
      </c>
      <c r="CF55" s="17">
        <v>0</v>
      </c>
      <c r="CG55" s="17">
        <v>0</v>
      </c>
      <c r="CH55" s="17">
        <v>0</v>
      </c>
      <c r="CI55" s="17">
        <v>0</v>
      </c>
      <c r="CJ55" s="17">
        <v>0</v>
      </c>
      <c r="CK55" s="18">
        <v>0</v>
      </c>
    </row>
    <row r="56" spans="1:89">
      <c r="A56" s="5" t="s">
        <v>23</v>
      </c>
      <c r="B56" s="44" t="s">
        <v>48</v>
      </c>
      <c r="C56" s="6" t="s">
        <v>58</v>
      </c>
      <c r="D56" s="5">
        <v>41</v>
      </c>
      <c r="E56" s="31">
        <v>0.12921856173196297</v>
      </c>
      <c r="F56" s="38">
        <f t="shared" si="2"/>
        <v>0</v>
      </c>
      <c r="J56" s="44">
        <v>41</v>
      </c>
      <c r="K56" s="54">
        <v>0</v>
      </c>
      <c r="L56" s="17">
        <f t="shared" si="0"/>
        <v>0</v>
      </c>
      <c r="M56" s="52">
        <f t="shared" si="3"/>
        <v>0</v>
      </c>
      <c r="N56" s="18">
        <f t="shared" si="1"/>
        <v>0</v>
      </c>
      <c r="Q56" s="56">
        <v>-6.7730597343290903E-3</v>
      </c>
      <c r="R56" s="60">
        <v>0</v>
      </c>
      <c r="S56" s="16">
        <v>10</v>
      </c>
      <c r="T56" s="17">
        <v>4</v>
      </c>
      <c r="U56" s="18">
        <v>0.1111111111111111</v>
      </c>
      <c r="W56" s="16">
        <v>0</v>
      </c>
      <c r="X56" s="17">
        <v>0</v>
      </c>
      <c r="Y56" s="17">
        <v>0</v>
      </c>
      <c r="Z56" s="17">
        <v>0</v>
      </c>
      <c r="AA56" s="17">
        <v>0</v>
      </c>
      <c r="AB56" s="17">
        <v>1</v>
      </c>
      <c r="AC56" s="17">
        <v>0</v>
      </c>
      <c r="AD56" s="17">
        <v>0</v>
      </c>
      <c r="AE56" s="17">
        <v>0</v>
      </c>
      <c r="AF56" s="17">
        <v>0</v>
      </c>
      <c r="AG56" s="18">
        <v>0</v>
      </c>
      <c r="AI56" s="16">
        <v>0</v>
      </c>
      <c r="AJ56" s="17">
        <v>0</v>
      </c>
      <c r="AK56" s="17">
        <v>0</v>
      </c>
      <c r="AL56" s="17">
        <v>0</v>
      </c>
      <c r="AM56" s="17">
        <v>0</v>
      </c>
      <c r="AN56" s="17">
        <v>1</v>
      </c>
      <c r="AO56" s="17">
        <v>0</v>
      </c>
      <c r="AP56" s="17">
        <v>0</v>
      </c>
      <c r="AQ56" s="17">
        <v>0</v>
      </c>
      <c r="AR56" s="17">
        <v>0</v>
      </c>
      <c r="AS56" s="17">
        <v>0</v>
      </c>
      <c r="AT56" s="17">
        <v>0</v>
      </c>
      <c r="AU56" s="17">
        <v>0</v>
      </c>
      <c r="AV56" s="17">
        <v>0</v>
      </c>
      <c r="AW56" s="17">
        <v>0</v>
      </c>
      <c r="AX56" s="17">
        <v>0</v>
      </c>
      <c r="AY56" s="17">
        <v>0</v>
      </c>
      <c r="AZ56" s="17">
        <v>0</v>
      </c>
      <c r="BA56" s="17">
        <v>0</v>
      </c>
      <c r="BB56" s="17">
        <v>0</v>
      </c>
      <c r="BC56" s="17">
        <v>0</v>
      </c>
      <c r="BD56" s="17">
        <v>0</v>
      </c>
      <c r="BE56" s="17">
        <v>0</v>
      </c>
      <c r="BF56" s="17">
        <v>0</v>
      </c>
      <c r="BG56" s="17">
        <v>0</v>
      </c>
      <c r="BH56" s="17">
        <v>0</v>
      </c>
      <c r="BI56" s="17">
        <v>0</v>
      </c>
      <c r="BJ56" s="17">
        <v>0</v>
      </c>
      <c r="BK56" s="17">
        <v>0</v>
      </c>
      <c r="BL56" s="17">
        <v>0</v>
      </c>
      <c r="BM56" s="17">
        <v>0</v>
      </c>
      <c r="BN56" s="17">
        <v>0</v>
      </c>
      <c r="BO56" s="17">
        <v>0</v>
      </c>
      <c r="BP56" s="17">
        <v>0</v>
      </c>
      <c r="BQ56" s="17">
        <v>0</v>
      </c>
      <c r="BR56" s="17">
        <v>0</v>
      </c>
      <c r="BS56" s="17">
        <v>0</v>
      </c>
      <c r="BT56" s="17">
        <v>0</v>
      </c>
      <c r="BU56" s="17">
        <v>0</v>
      </c>
      <c r="BV56" s="17">
        <v>0</v>
      </c>
      <c r="BW56" s="17">
        <v>0</v>
      </c>
      <c r="BX56" s="17">
        <v>0</v>
      </c>
      <c r="BY56" s="17">
        <v>0</v>
      </c>
      <c r="BZ56" s="17">
        <v>0</v>
      </c>
      <c r="CA56" s="17">
        <v>0</v>
      </c>
      <c r="CB56" s="17">
        <v>0</v>
      </c>
      <c r="CC56" s="17">
        <v>0</v>
      </c>
      <c r="CD56" s="17">
        <v>0</v>
      </c>
      <c r="CE56" s="17">
        <v>0</v>
      </c>
      <c r="CF56" s="17">
        <v>0</v>
      </c>
      <c r="CG56" s="17">
        <v>0</v>
      </c>
      <c r="CH56" s="17">
        <v>0</v>
      </c>
      <c r="CI56" s="17">
        <v>0</v>
      </c>
      <c r="CJ56" s="17">
        <v>0</v>
      </c>
      <c r="CK56" s="18">
        <v>0</v>
      </c>
    </row>
    <row r="57" spans="1:89">
      <c r="A57" s="5" t="s">
        <v>23</v>
      </c>
      <c r="B57" s="44" t="s">
        <v>48</v>
      </c>
      <c r="C57" s="6" t="s">
        <v>59</v>
      </c>
      <c r="D57" s="5">
        <v>42</v>
      </c>
      <c r="E57" s="31">
        <v>0.12922508581288278</v>
      </c>
      <c r="F57" s="38">
        <f t="shared" si="2"/>
        <v>0</v>
      </c>
      <c r="J57" s="44">
        <v>42</v>
      </c>
      <c r="K57" s="54">
        <v>0</v>
      </c>
      <c r="L57" s="17">
        <f t="shared" si="0"/>
        <v>0</v>
      </c>
      <c r="M57" s="52">
        <f t="shared" si="3"/>
        <v>0</v>
      </c>
      <c r="N57" s="18">
        <f t="shared" si="1"/>
        <v>0</v>
      </c>
      <c r="Q57" s="56">
        <v>-2.1900021475681399E-3</v>
      </c>
      <c r="R57" s="60">
        <v>0</v>
      </c>
      <c r="S57" s="16">
        <v>10</v>
      </c>
      <c r="T57" s="17">
        <v>5</v>
      </c>
      <c r="U57" s="18">
        <v>0.1111111111111111</v>
      </c>
      <c r="W57" s="16">
        <v>0</v>
      </c>
      <c r="X57" s="17">
        <v>0</v>
      </c>
      <c r="Y57" s="17">
        <v>0</v>
      </c>
      <c r="Z57" s="17">
        <v>0</v>
      </c>
      <c r="AA57" s="17">
        <v>0</v>
      </c>
      <c r="AB57" s="17">
        <v>1</v>
      </c>
      <c r="AC57" s="17">
        <v>0</v>
      </c>
      <c r="AD57" s="17">
        <v>0</v>
      </c>
      <c r="AE57" s="17">
        <v>0</v>
      </c>
      <c r="AF57" s="17">
        <v>0</v>
      </c>
      <c r="AG57" s="18">
        <v>0</v>
      </c>
      <c r="AI57" s="16">
        <v>0</v>
      </c>
      <c r="AJ57" s="17">
        <v>0</v>
      </c>
      <c r="AK57" s="17">
        <v>0</v>
      </c>
      <c r="AL57" s="17">
        <v>0</v>
      </c>
      <c r="AM57" s="17">
        <v>0</v>
      </c>
      <c r="AN57" s="17">
        <v>1</v>
      </c>
      <c r="AO57" s="17">
        <v>0</v>
      </c>
      <c r="AP57" s="17">
        <v>0</v>
      </c>
      <c r="AQ57" s="17">
        <v>0</v>
      </c>
      <c r="AR57" s="17">
        <v>0</v>
      </c>
      <c r="AS57" s="17">
        <v>0</v>
      </c>
      <c r="AT57" s="17">
        <v>0</v>
      </c>
      <c r="AU57" s="17">
        <v>0</v>
      </c>
      <c r="AV57" s="17">
        <v>0</v>
      </c>
      <c r="AW57" s="17">
        <v>0</v>
      </c>
      <c r="AX57" s="17">
        <v>0</v>
      </c>
      <c r="AY57" s="17">
        <v>0</v>
      </c>
      <c r="AZ57" s="17">
        <v>0</v>
      </c>
      <c r="BA57" s="17">
        <v>0</v>
      </c>
      <c r="BB57" s="17">
        <v>0</v>
      </c>
      <c r="BC57" s="17">
        <v>0</v>
      </c>
      <c r="BD57" s="17">
        <v>0</v>
      </c>
      <c r="BE57" s="17">
        <v>0</v>
      </c>
      <c r="BF57" s="17">
        <v>0</v>
      </c>
      <c r="BG57" s="17">
        <v>0</v>
      </c>
      <c r="BH57" s="17">
        <v>0</v>
      </c>
      <c r="BI57" s="17">
        <v>0</v>
      </c>
      <c r="BJ57" s="17">
        <v>0</v>
      </c>
      <c r="BK57" s="17">
        <v>0</v>
      </c>
      <c r="BL57" s="17">
        <v>0</v>
      </c>
      <c r="BM57" s="17">
        <v>0</v>
      </c>
      <c r="BN57" s="17">
        <v>0</v>
      </c>
      <c r="BO57" s="17">
        <v>0</v>
      </c>
      <c r="BP57" s="17">
        <v>0</v>
      </c>
      <c r="BQ57" s="17">
        <v>0</v>
      </c>
      <c r="BR57" s="17">
        <v>0</v>
      </c>
      <c r="BS57" s="17">
        <v>0</v>
      </c>
      <c r="BT57" s="17">
        <v>0</v>
      </c>
      <c r="BU57" s="17">
        <v>0</v>
      </c>
      <c r="BV57" s="17">
        <v>0</v>
      </c>
      <c r="BW57" s="17">
        <v>0</v>
      </c>
      <c r="BX57" s="17">
        <v>0</v>
      </c>
      <c r="BY57" s="17">
        <v>0</v>
      </c>
      <c r="BZ57" s="17">
        <v>0</v>
      </c>
      <c r="CA57" s="17">
        <v>0</v>
      </c>
      <c r="CB57" s="17">
        <v>0</v>
      </c>
      <c r="CC57" s="17">
        <v>0</v>
      </c>
      <c r="CD57" s="17">
        <v>0</v>
      </c>
      <c r="CE57" s="17">
        <v>0</v>
      </c>
      <c r="CF57" s="17">
        <v>0</v>
      </c>
      <c r="CG57" s="17">
        <v>0</v>
      </c>
      <c r="CH57" s="17">
        <v>0</v>
      </c>
      <c r="CI57" s="17">
        <v>0</v>
      </c>
      <c r="CJ57" s="17">
        <v>0</v>
      </c>
      <c r="CK57" s="18">
        <v>0</v>
      </c>
    </row>
    <row r="58" spans="1:89">
      <c r="A58" s="5" t="s">
        <v>23</v>
      </c>
      <c r="B58" s="44" t="s">
        <v>48</v>
      </c>
      <c r="C58" s="6" t="s">
        <v>60</v>
      </c>
      <c r="D58" s="5">
        <v>43</v>
      </c>
      <c r="E58" s="31">
        <v>0.12919832860499025</v>
      </c>
      <c r="F58" s="38">
        <f t="shared" si="2"/>
        <v>0</v>
      </c>
      <c r="J58" s="44">
        <v>43</v>
      </c>
      <c r="K58" s="54">
        <v>0</v>
      </c>
      <c r="L58" s="17">
        <f t="shared" si="0"/>
        <v>0</v>
      </c>
      <c r="M58" s="52">
        <f t="shared" si="3"/>
        <v>0</v>
      </c>
      <c r="N58" s="18">
        <f t="shared" si="1"/>
        <v>0</v>
      </c>
      <c r="Q58" s="56">
        <v>3.1538363156251699E-4</v>
      </c>
      <c r="R58" s="60">
        <v>0</v>
      </c>
      <c r="S58" s="16">
        <v>10</v>
      </c>
      <c r="T58" s="17">
        <v>7</v>
      </c>
      <c r="U58" s="18">
        <v>0.1111111111111111</v>
      </c>
      <c r="W58" s="16">
        <v>0</v>
      </c>
      <c r="X58" s="17">
        <v>0</v>
      </c>
      <c r="Y58" s="17">
        <v>0</v>
      </c>
      <c r="Z58" s="17">
        <v>0</v>
      </c>
      <c r="AA58" s="17">
        <v>0</v>
      </c>
      <c r="AB58" s="17">
        <v>1</v>
      </c>
      <c r="AC58" s="17">
        <v>0</v>
      </c>
      <c r="AD58" s="17">
        <v>0</v>
      </c>
      <c r="AE58" s="17">
        <v>0</v>
      </c>
      <c r="AF58" s="17">
        <v>0</v>
      </c>
      <c r="AG58" s="18">
        <v>0</v>
      </c>
      <c r="AI58" s="16">
        <v>0</v>
      </c>
      <c r="AJ58" s="17">
        <v>0</v>
      </c>
      <c r="AK58" s="17">
        <v>0</v>
      </c>
      <c r="AL58" s="17">
        <v>0</v>
      </c>
      <c r="AM58" s="17">
        <v>0</v>
      </c>
      <c r="AN58" s="17">
        <v>1</v>
      </c>
      <c r="AO58" s="17">
        <v>0</v>
      </c>
      <c r="AP58" s="17">
        <v>0</v>
      </c>
      <c r="AQ58" s="17">
        <v>0</v>
      </c>
      <c r="AR58" s="17">
        <v>0</v>
      </c>
      <c r="AS58" s="17">
        <v>0</v>
      </c>
      <c r="AT58" s="17">
        <v>0</v>
      </c>
      <c r="AU58" s="17">
        <v>0</v>
      </c>
      <c r="AV58" s="17">
        <v>0</v>
      </c>
      <c r="AW58" s="17">
        <v>0</v>
      </c>
      <c r="AX58" s="17">
        <v>0</v>
      </c>
      <c r="AY58" s="17">
        <v>0</v>
      </c>
      <c r="AZ58" s="17">
        <v>0</v>
      </c>
      <c r="BA58" s="17">
        <v>0</v>
      </c>
      <c r="BB58" s="17">
        <v>0</v>
      </c>
      <c r="BC58" s="17">
        <v>0</v>
      </c>
      <c r="BD58" s="17">
        <v>0</v>
      </c>
      <c r="BE58" s="17">
        <v>0</v>
      </c>
      <c r="BF58" s="17">
        <v>0</v>
      </c>
      <c r="BG58" s="17">
        <v>0</v>
      </c>
      <c r="BH58" s="17">
        <v>0</v>
      </c>
      <c r="BI58" s="17">
        <v>0</v>
      </c>
      <c r="BJ58" s="17">
        <v>0</v>
      </c>
      <c r="BK58" s="17">
        <v>0</v>
      </c>
      <c r="BL58" s="17">
        <v>0</v>
      </c>
      <c r="BM58" s="17">
        <v>0</v>
      </c>
      <c r="BN58" s="17">
        <v>0</v>
      </c>
      <c r="BO58" s="17">
        <v>0</v>
      </c>
      <c r="BP58" s="17">
        <v>0</v>
      </c>
      <c r="BQ58" s="17">
        <v>0</v>
      </c>
      <c r="BR58" s="17">
        <v>0</v>
      </c>
      <c r="BS58" s="17">
        <v>0</v>
      </c>
      <c r="BT58" s="17">
        <v>0</v>
      </c>
      <c r="BU58" s="17">
        <v>0</v>
      </c>
      <c r="BV58" s="17">
        <v>0</v>
      </c>
      <c r="BW58" s="17">
        <v>0</v>
      </c>
      <c r="BX58" s="17">
        <v>0</v>
      </c>
      <c r="BY58" s="17">
        <v>0</v>
      </c>
      <c r="BZ58" s="17">
        <v>0</v>
      </c>
      <c r="CA58" s="17">
        <v>0</v>
      </c>
      <c r="CB58" s="17">
        <v>0</v>
      </c>
      <c r="CC58" s="17">
        <v>0</v>
      </c>
      <c r="CD58" s="17">
        <v>0</v>
      </c>
      <c r="CE58" s="17">
        <v>0</v>
      </c>
      <c r="CF58" s="17">
        <v>0</v>
      </c>
      <c r="CG58" s="17">
        <v>0</v>
      </c>
      <c r="CH58" s="17">
        <v>0</v>
      </c>
      <c r="CI58" s="17">
        <v>0</v>
      </c>
      <c r="CJ58" s="17">
        <v>0</v>
      </c>
      <c r="CK58" s="18">
        <v>0</v>
      </c>
    </row>
    <row r="59" spans="1:89">
      <c r="A59" s="5" t="s">
        <v>23</v>
      </c>
      <c r="B59" s="44" t="s">
        <v>48</v>
      </c>
      <c r="C59" s="6" t="s">
        <v>62</v>
      </c>
      <c r="D59" s="5">
        <v>44</v>
      </c>
      <c r="E59" s="31">
        <v>0.12578971226577154</v>
      </c>
      <c r="F59" s="38">
        <f t="shared" si="2"/>
        <v>0</v>
      </c>
      <c r="J59" s="44">
        <v>44</v>
      </c>
      <c r="K59" s="54">
        <v>0</v>
      </c>
      <c r="L59" s="17">
        <f t="shared" si="0"/>
        <v>0</v>
      </c>
      <c r="M59" s="52">
        <f t="shared" si="3"/>
        <v>0</v>
      </c>
      <c r="N59" s="18">
        <f t="shared" si="1"/>
        <v>0</v>
      </c>
      <c r="Q59" s="56">
        <v>-3.4944957553908599E-3</v>
      </c>
      <c r="R59" s="60">
        <v>0</v>
      </c>
      <c r="S59" s="16">
        <v>10</v>
      </c>
      <c r="T59" s="17">
        <v>9</v>
      </c>
      <c r="U59" s="18">
        <v>0.1111111111111111</v>
      </c>
      <c r="W59" s="16">
        <v>0</v>
      </c>
      <c r="X59" s="17">
        <v>0</v>
      </c>
      <c r="Y59" s="17">
        <v>0</v>
      </c>
      <c r="Z59" s="17">
        <v>0</v>
      </c>
      <c r="AA59" s="17">
        <v>0</v>
      </c>
      <c r="AB59" s="17">
        <v>1</v>
      </c>
      <c r="AC59" s="17">
        <v>0</v>
      </c>
      <c r="AD59" s="17">
        <v>0</v>
      </c>
      <c r="AE59" s="17">
        <v>0</v>
      </c>
      <c r="AF59" s="17">
        <v>0</v>
      </c>
      <c r="AG59" s="18">
        <v>0</v>
      </c>
      <c r="AI59" s="16">
        <v>0</v>
      </c>
      <c r="AJ59" s="17">
        <v>0</v>
      </c>
      <c r="AK59" s="17">
        <v>0</v>
      </c>
      <c r="AL59" s="17">
        <v>0</v>
      </c>
      <c r="AM59" s="17">
        <v>0</v>
      </c>
      <c r="AN59" s="17">
        <v>1</v>
      </c>
      <c r="AO59" s="17">
        <v>0</v>
      </c>
      <c r="AP59" s="17">
        <v>0</v>
      </c>
      <c r="AQ59" s="17">
        <v>0</v>
      </c>
      <c r="AR59" s="17">
        <v>0</v>
      </c>
      <c r="AS59" s="17">
        <v>0</v>
      </c>
      <c r="AT59" s="17">
        <v>0</v>
      </c>
      <c r="AU59" s="17">
        <v>0</v>
      </c>
      <c r="AV59" s="17">
        <v>0</v>
      </c>
      <c r="AW59" s="17">
        <v>0</v>
      </c>
      <c r="AX59" s="17">
        <v>0</v>
      </c>
      <c r="AY59" s="17">
        <v>0</v>
      </c>
      <c r="AZ59" s="17">
        <v>0</v>
      </c>
      <c r="BA59" s="17">
        <v>0</v>
      </c>
      <c r="BB59" s="17">
        <v>0</v>
      </c>
      <c r="BC59" s="17">
        <v>0</v>
      </c>
      <c r="BD59" s="17">
        <v>0</v>
      </c>
      <c r="BE59" s="17">
        <v>0</v>
      </c>
      <c r="BF59" s="17">
        <v>0</v>
      </c>
      <c r="BG59" s="17">
        <v>0</v>
      </c>
      <c r="BH59" s="17">
        <v>0</v>
      </c>
      <c r="BI59" s="17">
        <v>0</v>
      </c>
      <c r="BJ59" s="17">
        <v>0</v>
      </c>
      <c r="BK59" s="17">
        <v>0</v>
      </c>
      <c r="BL59" s="17">
        <v>0</v>
      </c>
      <c r="BM59" s="17">
        <v>0</v>
      </c>
      <c r="BN59" s="17">
        <v>0</v>
      </c>
      <c r="BO59" s="17">
        <v>0</v>
      </c>
      <c r="BP59" s="17">
        <v>0</v>
      </c>
      <c r="BQ59" s="17">
        <v>0</v>
      </c>
      <c r="BR59" s="17">
        <v>0</v>
      </c>
      <c r="BS59" s="17">
        <v>0</v>
      </c>
      <c r="BT59" s="17">
        <v>0</v>
      </c>
      <c r="BU59" s="17">
        <v>0</v>
      </c>
      <c r="BV59" s="17">
        <v>0</v>
      </c>
      <c r="BW59" s="17">
        <v>0</v>
      </c>
      <c r="BX59" s="17">
        <v>0</v>
      </c>
      <c r="BY59" s="17">
        <v>0</v>
      </c>
      <c r="BZ59" s="17">
        <v>0</v>
      </c>
      <c r="CA59" s="17">
        <v>0</v>
      </c>
      <c r="CB59" s="17">
        <v>0</v>
      </c>
      <c r="CC59" s="17">
        <v>0</v>
      </c>
      <c r="CD59" s="17">
        <v>0</v>
      </c>
      <c r="CE59" s="17">
        <v>0</v>
      </c>
      <c r="CF59" s="17">
        <v>0</v>
      </c>
      <c r="CG59" s="17">
        <v>0</v>
      </c>
      <c r="CH59" s="17">
        <v>0</v>
      </c>
      <c r="CI59" s="17">
        <v>0</v>
      </c>
      <c r="CJ59" s="17">
        <v>0</v>
      </c>
      <c r="CK59" s="18">
        <v>0</v>
      </c>
    </row>
    <row r="60" spans="1:89">
      <c r="A60" s="5" t="s">
        <v>23</v>
      </c>
      <c r="B60" s="44" t="s">
        <v>48</v>
      </c>
      <c r="C60" s="6" t="s">
        <v>63</v>
      </c>
      <c r="D60" s="5">
        <v>45</v>
      </c>
      <c r="E60" s="31">
        <v>0.12922170579155479</v>
      </c>
      <c r="F60" s="38">
        <f t="shared" si="2"/>
        <v>0</v>
      </c>
      <c r="J60" s="44">
        <v>45</v>
      </c>
      <c r="K60" s="54">
        <v>0</v>
      </c>
      <c r="L60" s="17">
        <f t="shared" si="0"/>
        <v>0</v>
      </c>
      <c r="M60" s="52">
        <f t="shared" si="3"/>
        <v>0</v>
      </c>
      <c r="N60" s="18">
        <f t="shared" si="1"/>
        <v>0</v>
      </c>
      <c r="Q60" s="57">
        <v>2.1449321374168601E-5</v>
      </c>
      <c r="R60" s="60">
        <v>0</v>
      </c>
      <c r="S60" s="16">
        <v>10</v>
      </c>
      <c r="T60" s="17">
        <v>11</v>
      </c>
      <c r="U60" s="18">
        <v>0.1111111111111111</v>
      </c>
      <c r="W60" s="16">
        <v>0</v>
      </c>
      <c r="X60" s="17">
        <v>0</v>
      </c>
      <c r="Y60" s="17">
        <v>0</v>
      </c>
      <c r="Z60" s="17">
        <v>0</v>
      </c>
      <c r="AA60" s="17">
        <v>0</v>
      </c>
      <c r="AB60" s="17">
        <v>1</v>
      </c>
      <c r="AC60" s="17">
        <v>0</v>
      </c>
      <c r="AD60" s="17">
        <v>0</v>
      </c>
      <c r="AE60" s="17">
        <v>0</v>
      </c>
      <c r="AF60" s="17">
        <v>0</v>
      </c>
      <c r="AG60" s="18">
        <v>0</v>
      </c>
      <c r="AI60" s="16">
        <v>0</v>
      </c>
      <c r="AJ60" s="17">
        <v>0</v>
      </c>
      <c r="AK60" s="17">
        <v>0</v>
      </c>
      <c r="AL60" s="17">
        <v>0</v>
      </c>
      <c r="AM60" s="17">
        <v>0</v>
      </c>
      <c r="AN60" s="17">
        <v>1</v>
      </c>
      <c r="AO60" s="17">
        <v>0</v>
      </c>
      <c r="AP60" s="17">
        <v>0</v>
      </c>
      <c r="AQ60" s="17">
        <v>0</v>
      </c>
      <c r="AR60" s="17">
        <v>0</v>
      </c>
      <c r="AS60" s="17">
        <v>0</v>
      </c>
      <c r="AT60" s="17">
        <v>0</v>
      </c>
      <c r="AU60" s="17">
        <v>0</v>
      </c>
      <c r="AV60" s="17">
        <v>0</v>
      </c>
      <c r="AW60" s="17">
        <v>0</v>
      </c>
      <c r="AX60" s="17">
        <v>0</v>
      </c>
      <c r="AY60" s="17">
        <v>0</v>
      </c>
      <c r="AZ60" s="17">
        <v>0</v>
      </c>
      <c r="BA60" s="17">
        <v>0</v>
      </c>
      <c r="BB60" s="17">
        <v>0</v>
      </c>
      <c r="BC60" s="17">
        <v>0</v>
      </c>
      <c r="BD60" s="17">
        <v>0</v>
      </c>
      <c r="BE60" s="17">
        <v>0</v>
      </c>
      <c r="BF60" s="17">
        <v>0</v>
      </c>
      <c r="BG60" s="17">
        <v>0</v>
      </c>
      <c r="BH60" s="17">
        <v>0</v>
      </c>
      <c r="BI60" s="17">
        <v>0</v>
      </c>
      <c r="BJ60" s="17">
        <v>0</v>
      </c>
      <c r="BK60" s="17">
        <v>0</v>
      </c>
      <c r="BL60" s="17">
        <v>0</v>
      </c>
      <c r="BM60" s="17">
        <v>0</v>
      </c>
      <c r="BN60" s="17">
        <v>0</v>
      </c>
      <c r="BO60" s="17">
        <v>0</v>
      </c>
      <c r="BP60" s="17">
        <v>0</v>
      </c>
      <c r="BQ60" s="17">
        <v>0</v>
      </c>
      <c r="BR60" s="17">
        <v>0</v>
      </c>
      <c r="BS60" s="17">
        <v>0</v>
      </c>
      <c r="BT60" s="17">
        <v>0</v>
      </c>
      <c r="BU60" s="17">
        <v>0</v>
      </c>
      <c r="BV60" s="17">
        <v>0</v>
      </c>
      <c r="BW60" s="17">
        <v>0</v>
      </c>
      <c r="BX60" s="17">
        <v>0</v>
      </c>
      <c r="BY60" s="17">
        <v>0</v>
      </c>
      <c r="BZ60" s="17">
        <v>0</v>
      </c>
      <c r="CA60" s="17">
        <v>0</v>
      </c>
      <c r="CB60" s="17">
        <v>0</v>
      </c>
      <c r="CC60" s="17">
        <v>0</v>
      </c>
      <c r="CD60" s="17">
        <v>0</v>
      </c>
      <c r="CE60" s="17">
        <v>0</v>
      </c>
      <c r="CF60" s="17">
        <v>0</v>
      </c>
      <c r="CG60" s="17">
        <v>0</v>
      </c>
      <c r="CH60" s="17">
        <v>0</v>
      </c>
      <c r="CI60" s="17">
        <v>0</v>
      </c>
      <c r="CJ60" s="17">
        <v>0</v>
      </c>
      <c r="CK60" s="18">
        <v>0</v>
      </c>
    </row>
    <row r="61" spans="1:89">
      <c r="A61" s="5" t="s">
        <v>23</v>
      </c>
      <c r="B61" s="44" t="s">
        <v>48</v>
      </c>
      <c r="C61" s="6" t="s">
        <v>64</v>
      </c>
      <c r="D61" s="5">
        <v>46</v>
      </c>
      <c r="E61" s="31">
        <v>0.12902110414500953</v>
      </c>
      <c r="F61" s="38">
        <f t="shared" si="2"/>
        <v>0</v>
      </c>
      <c r="J61" s="44">
        <v>46</v>
      </c>
      <c r="K61" s="54">
        <v>0</v>
      </c>
      <c r="L61" s="17">
        <f t="shared" si="0"/>
        <v>0</v>
      </c>
      <c r="M61" s="52">
        <f t="shared" si="3"/>
        <v>0</v>
      </c>
      <c r="N61" s="18">
        <f t="shared" si="1"/>
        <v>0</v>
      </c>
      <c r="Q61" s="57">
        <v>1.6267441317130901E-4</v>
      </c>
      <c r="R61" s="60">
        <v>0</v>
      </c>
      <c r="S61" s="16">
        <v>10</v>
      </c>
      <c r="T61" s="17">
        <v>12</v>
      </c>
      <c r="U61" s="18">
        <v>0.1111111111111111</v>
      </c>
      <c r="W61" s="16">
        <v>0</v>
      </c>
      <c r="X61" s="17">
        <v>0</v>
      </c>
      <c r="Y61" s="17">
        <v>0</v>
      </c>
      <c r="Z61" s="17">
        <v>0</v>
      </c>
      <c r="AA61" s="17">
        <v>0</v>
      </c>
      <c r="AB61" s="17">
        <v>1</v>
      </c>
      <c r="AC61" s="17">
        <v>0</v>
      </c>
      <c r="AD61" s="17">
        <v>0</v>
      </c>
      <c r="AE61" s="17">
        <v>0</v>
      </c>
      <c r="AF61" s="17">
        <v>0</v>
      </c>
      <c r="AG61" s="18">
        <v>0</v>
      </c>
      <c r="AI61" s="16">
        <v>0</v>
      </c>
      <c r="AJ61" s="17">
        <v>0</v>
      </c>
      <c r="AK61" s="17">
        <v>0</v>
      </c>
      <c r="AL61" s="17">
        <v>0</v>
      </c>
      <c r="AM61" s="17">
        <v>0</v>
      </c>
      <c r="AN61" s="17">
        <v>1</v>
      </c>
      <c r="AO61" s="17">
        <v>0</v>
      </c>
      <c r="AP61" s="17">
        <v>0</v>
      </c>
      <c r="AQ61" s="17">
        <v>0</v>
      </c>
      <c r="AR61" s="17">
        <v>0</v>
      </c>
      <c r="AS61" s="17">
        <v>0</v>
      </c>
      <c r="AT61" s="17">
        <v>0</v>
      </c>
      <c r="AU61" s="17">
        <v>0</v>
      </c>
      <c r="AV61" s="17">
        <v>0</v>
      </c>
      <c r="AW61" s="17">
        <v>0</v>
      </c>
      <c r="AX61" s="17">
        <v>0</v>
      </c>
      <c r="AY61" s="17">
        <v>0</v>
      </c>
      <c r="AZ61" s="17">
        <v>0</v>
      </c>
      <c r="BA61" s="17">
        <v>0</v>
      </c>
      <c r="BB61" s="17">
        <v>0</v>
      </c>
      <c r="BC61" s="17">
        <v>0</v>
      </c>
      <c r="BD61" s="17">
        <v>0</v>
      </c>
      <c r="BE61" s="17">
        <v>0</v>
      </c>
      <c r="BF61" s="17">
        <v>0</v>
      </c>
      <c r="BG61" s="17">
        <v>0</v>
      </c>
      <c r="BH61" s="17">
        <v>0</v>
      </c>
      <c r="BI61" s="17">
        <v>0</v>
      </c>
      <c r="BJ61" s="17">
        <v>0</v>
      </c>
      <c r="BK61" s="17">
        <v>0</v>
      </c>
      <c r="BL61" s="17">
        <v>0</v>
      </c>
      <c r="BM61" s="17">
        <v>0</v>
      </c>
      <c r="BN61" s="17">
        <v>0</v>
      </c>
      <c r="BO61" s="17">
        <v>0</v>
      </c>
      <c r="BP61" s="17">
        <v>0</v>
      </c>
      <c r="BQ61" s="17">
        <v>0</v>
      </c>
      <c r="BR61" s="17">
        <v>0</v>
      </c>
      <c r="BS61" s="17">
        <v>0</v>
      </c>
      <c r="BT61" s="17">
        <v>0</v>
      </c>
      <c r="BU61" s="17">
        <v>0</v>
      </c>
      <c r="BV61" s="17">
        <v>0</v>
      </c>
      <c r="BW61" s="17">
        <v>0</v>
      </c>
      <c r="BX61" s="17">
        <v>0</v>
      </c>
      <c r="BY61" s="17">
        <v>0</v>
      </c>
      <c r="BZ61" s="17">
        <v>0</v>
      </c>
      <c r="CA61" s="17">
        <v>0</v>
      </c>
      <c r="CB61" s="17">
        <v>0</v>
      </c>
      <c r="CC61" s="17">
        <v>0</v>
      </c>
      <c r="CD61" s="17">
        <v>0</v>
      </c>
      <c r="CE61" s="17">
        <v>0</v>
      </c>
      <c r="CF61" s="17">
        <v>0</v>
      </c>
      <c r="CG61" s="17">
        <v>0</v>
      </c>
      <c r="CH61" s="17">
        <v>0</v>
      </c>
      <c r="CI61" s="17">
        <v>0</v>
      </c>
      <c r="CJ61" s="17">
        <v>0</v>
      </c>
      <c r="CK61" s="18">
        <v>0</v>
      </c>
    </row>
    <row r="62" spans="1:89">
      <c r="A62" s="5" t="s">
        <v>23</v>
      </c>
      <c r="B62" s="44" t="s">
        <v>48</v>
      </c>
      <c r="C62" s="6" t="s">
        <v>65</v>
      </c>
      <c r="D62" s="5">
        <v>47</v>
      </c>
      <c r="E62" s="31">
        <v>0.12921309840270129</v>
      </c>
      <c r="F62" s="38">
        <f t="shared" si="2"/>
        <v>0</v>
      </c>
      <c r="J62" s="44">
        <v>47</v>
      </c>
      <c r="K62" s="54">
        <v>0</v>
      </c>
      <c r="L62" s="17">
        <f t="shared" si="0"/>
        <v>0</v>
      </c>
      <c r="M62" s="52">
        <f t="shared" si="3"/>
        <v>0</v>
      </c>
      <c r="N62" s="18">
        <f t="shared" si="1"/>
        <v>0</v>
      </c>
      <c r="Q62" s="57">
        <v>4.1378843450271997E-5</v>
      </c>
      <c r="R62" s="60">
        <v>0</v>
      </c>
      <c r="S62" s="16">
        <v>10</v>
      </c>
      <c r="T62" s="17">
        <v>13</v>
      </c>
      <c r="U62" s="18">
        <v>0.1111111111111111</v>
      </c>
      <c r="W62" s="16">
        <v>0</v>
      </c>
      <c r="X62" s="17">
        <v>0</v>
      </c>
      <c r="Y62" s="17">
        <v>0</v>
      </c>
      <c r="Z62" s="17">
        <v>0</v>
      </c>
      <c r="AA62" s="17">
        <v>0</v>
      </c>
      <c r="AB62" s="17">
        <v>1</v>
      </c>
      <c r="AC62" s="17">
        <v>0</v>
      </c>
      <c r="AD62" s="17">
        <v>0</v>
      </c>
      <c r="AE62" s="17">
        <v>0</v>
      </c>
      <c r="AF62" s="17">
        <v>0</v>
      </c>
      <c r="AG62" s="18">
        <v>0</v>
      </c>
      <c r="AI62" s="16">
        <v>0</v>
      </c>
      <c r="AJ62" s="17">
        <v>0</v>
      </c>
      <c r="AK62" s="17">
        <v>0</v>
      </c>
      <c r="AL62" s="17">
        <v>0</v>
      </c>
      <c r="AM62" s="17">
        <v>0</v>
      </c>
      <c r="AN62" s="17">
        <v>1</v>
      </c>
      <c r="AO62" s="17">
        <v>0</v>
      </c>
      <c r="AP62" s="17">
        <v>0</v>
      </c>
      <c r="AQ62" s="17">
        <v>0</v>
      </c>
      <c r="AR62" s="17">
        <v>0</v>
      </c>
      <c r="AS62" s="17">
        <v>0</v>
      </c>
      <c r="AT62" s="17">
        <v>0</v>
      </c>
      <c r="AU62" s="17">
        <v>0</v>
      </c>
      <c r="AV62" s="17">
        <v>0</v>
      </c>
      <c r="AW62" s="17">
        <v>0</v>
      </c>
      <c r="AX62" s="17">
        <v>0</v>
      </c>
      <c r="AY62" s="17">
        <v>0</v>
      </c>
      <c r="AZ62" s="17">
        <v>0</v>
      </c>
      <c r="BA62" s="17">
        <v>0</v>
      </c>
      <c r="BB62" s="17">
        <v>0</v>
      </c>
      <c r="BC62" s="17">
        <v>0</v>
      </c>
      <c r="BD62" s="17">
        <v>0</v>
      </c>
      <c r="BE62" s="17">
        <v>0</v>
      </c>
      <c r="BF62" s="17">
        <v>0</v>
      </c>
      <c r="BG62" s="17">
        <v>0</v>
      </c>
      <c r="BH62" s="17">
        <v>0</v>
      </c>
      <c r="BI62" s="17">
        <v>0</v>
      </c>
      <c r="BJ62" s="17">
        <v>0</v>
      </c>
      <c r="BK62" s="17">
        <v>0</v>
      </c>
      <c r="BL62" s="17">
        <v>0</v>
      </c>
      <c r="BM62" s="17">
        <v>0</v>
      </c>
      <c r="BN62" s="17">
        <v>0</v>
      </c>
      <c r="BO62" s="17">
        <v>0</v>
      </c>
      <c r="BP62" s="17">
        <v>0</v>
      </c>
      <c r="BQ62" s="17">
        <v>0</v>
      </c>
      <c r="BR62" s="17">
        <v>0</v>
      </c>
      <c r="BS62" s="17">
        <v>0</v>
      </c>
      <c r="BT62" s="17">
        <v>0</v>
      </c>
      <c r="BU62" s="17">
        <v>0</v>
      </c>
      <c r="BV62" s="17">
        <v>0</v>
      </c>
      <c r="BW62" s="17">
        <v>0</v>
      </c>
      <c r="BX62" s="17">
        <v>0</v>
      </c>
      <c r="BY62" s="17">
        <v>0</v>
      </c>
      <c r="BZ62" s="17">
        <v>0</v>
      </c>
      <c r="CA62" s="17">
        <v>0</v>
      </c>
      <c r="CB62" s="17">
        <v>0</v>
      </c>
      <c r="CC62" s="17">
        <v>0</v>
      </c>
      <c r="CD62" s="17">
        <v>0</v>
      </c>
      <c r="CE62" s="17">
        <v>0</v>
      </c>
      <c r="CF62" s="17">
        <v>0</v>
      </c>
      <c r="CG62" s="17">
        <v>0</v>
      </c>
      <c r="CH62" s="17">
        <v>0</v>
      </c>
      <c r="CI62" s="17">
        <v>0</v>
      </c>
      <c r="CJ62" s="17">
        <v>0</v>
      </c>
      <c r="CK62" s="18">
        <v>0</v>
      </c>
    </row>
    <row r="63" spans="1:89">
      <c r="A63" s="5" t="s">
        <v>23</v>
      </c>
      <c r="B63" s="44" t="s">
        <v>48</v>
      </c>
      <c r="C63" s="6" t="s">
        <v>67</v>
      </c>
      <c r="D63" s="5">
        <v>48</v>
      </c>
      <c r="E63" s="31">
        <v>0.12314891780896813</v>
      </c>
      <c r="F63" s="38">
        <f t="shared" si="2"/>
        <v>0</v>
      </c>
      <c r="J63" s="44">
        <v>48</v>
      </c>
      <c r="K63" s="54">
        <v>0</v>
      </c>
      <c r="L63" s="17">
        <f t="shared" si="0"/>
        <v>0</v>
      </c>
      <c r="M63" s="52">
        <f t="shared" si="3"/>
        <v>0</v>
      </c>
      <c r="N63" s="18">
        <f t="shared" si="1"/>
        <v>0</v>
      </c>
      <c r="Q63" s="56">
        <v>3.1600382666911102E-4</v>
      </c>
      <c r="R63" s="60">
        <v>0</v>
      </c>
      <c r="S63" s="16">
        <v>10</v>
      </c>
      <c r="T63" s="17">
        <v>14</v>
      </c>
      <c r="U63" s="18">
        <v>0.1111111111111111</v>
      </c>
      <c r="W63" s="16">
        <v>0</v>
      </c>
      <c r="X63" s="17">
        <v>0</v>
      </c>
      <c r="Y63" s="17">
        <v>0</v>
      </c>
      <c r="Z63" s="17">
        <v>0</v>
      </c>
      <c r="AA63" s="17">
        <v>0</v>
      </c>
      <c r="AB63" s="17">
        <v>1</v>
      </c>
      <c r="AC63" s="17">
        <v>0</v>
      </c>
      <c r="AD63" s="17">
        <v>0</v>
      </c>
      <c r="AE63" s="17">
        <v>0</v>
      </c>
      <c r="AF63" s="17">
        <v>0</v>
      </c>
      <c r="AG63" s="18">
        <v>0</v>
      </c>
      <c r="AI63" s="16">
        <v>0</v>
      </c>
      <c r="AJ63" s="17">
        <v>0</v>
      </c>
      <c r="AK63" s="17">
        <v>0</v>
      </c>
      <c r="AL63" s="17">
        <v>0</v>
      </c>
      <c r="AM63" s="17">
        <v>0</v>
      </c>
      <c r="AN63" s="17">
        <v>1</v>
      </c>
      <c r="AO63" s="17">
        <v>0</v>
      </c>
      <c r="AP63" s="17">
        <v>0</v>
      </c>
      <c r="AQ63" s="17">
        <v>0</v>
      </c>
      <c r="AR63" s="17">
        <v>0</v>
      </c>
      <c r="AS63" s="17">
        <v>0</v>
      </c>
      <c r="AT63" s="17">
        <v>0</v>
      </c>
      <c r="AU63" s="17">
        <v>0</v>
      </c>
      <c r="AV63" s="17">
        <v>0</v>
      </c>
      <c r="AW63" s="17">
        <v>0</v>
      </c>
      <c r="AX63" s="17">
        <v>0</v>
      </c>
      <c r="AY63" s="17">
        <v>0</v>
      </c>
      <c r="AZ63" s="17">
        <v>0</v>
      </c>
      <c r="BA63" s="17">
        <v>0</v>
      </c>
      <c r="BB63" s="17">
        <v>0</v>
      </c>
      <c r="BC63" s="17">
        <v>0</v>
      </c>
      <c r="BD63" s="17">
        <v>0</v>
      </c>
      <c r="BE63" s="17">
        <v>0</v>
      </c>
      <c r="BF63" s="17">
        <v>0</v>
      </c>
      <c r="BG63" s="17">
        <v>0</v>
      </c>
      <c r="BH63" s="17">
        <v>0</v>
      </c>
      <c r="BI63" s="17">
        <v>0</v>
      </c>
      <c r="BJ63" s="17">
        <v>0</v>
      </c>
      <c r="BK63" s="17">
        <v>0</v>
      </c>
      <c r="BL63" s="17">
        <v>0</v>
      </c>
      <c r="BM63" s="17">
        <v>0</v>
      </c>
      <c r="BN63" s="17">
        <v>0</v>
      </c>
      <c r="BO63" s="17">
        <v>0</v>
      </c>
      <c r="BP63" s="17">
        <v>0</v>
      </c>
      <c r="BQ63" s="17">
        <v>0</v>
      </c>
      <c r="BR63" s="17">
        <v>0</v>
      </c>
      <c r="BS63" s="17">
        <v>0</v>
      </c>
      <c r="BT63" s="17">
        <v>0</v>
      </c>
      <c r="BU63" s="17">
        <v>0</v>
      </c>
      <c r="BV63" s="17">
        <v>0</v>
      </c>
      <c r="BW63" s="17">
        <v>0</v>
      </c>
      <c r="BX63" s="17">
        <v>0</v>
      </c>
      <c r="BY63" s="17">
        <v>0</v>
      </c>
      <c r="BZ63" s="17">
        <v>0</v>
      </c>
      <c r="CA63" s="17">
        <v>0</v>
      </c>
      <c r="CB63" s="17">
        <v>0</v>
      </c>
      <c r="CC63" s="17">
        <v>0</v>
      </c>
      <c r="CD63" s="17">
        <v>0</v>
      </c>
      <c r="CE63" s="17">
        <v>0</v>
      </c>
      <c r="CF63" s="17">
        <v>0</v>
      </c>
      <c r="CG63" s="17">
        <v>0</v>
      </c>
      <c r="CH63" s="17">
        <v>0</v>
      </c>
      <c r="CI63" s="17">
        <v>0</v>
      </c>
      <c r="CJ63" s="17">
        <v>0</v>
      </c>
      <c r="CK63" s="18">
        <v>0</v>
      </c>
    </row>
    <row r="64" spans="1:89">
      <c r="A64" s="5" t="s">
        <v>23</v>
      </c>
      <c r="B64" s="44" t="s">
        <v>48</v>
      </c>
      <c r="C64" s="6" t="s">
        <v>69</v>
      </c>
      <c r="D64" s="5">
        <v>49</v>
      </c>
      <c r="E64" s="31">
        <v>0.12687490872680096</v>
      </c>
      <c r="F64" s="38">
        <f t="shared" si="2"/>
        <v>0</v>
      </c>
      <c r="J64" s="44">
        <v>49</v>
      </c>
      <c r="K64" s="54">
        <v>0</v>
      </c>
      <c r="L64" s="17">
        <f t="shared" si="0"/>
        <v>0</v>
      </c>
      <c r="M64" s="52">
        <f t="shared" si="3"/>
        <v>0</v>
      </c>
      <c r="N64" s="18">
        <f t="shared" si="1"/>
        <v>0</v>
      </c>
      <c r="Q64" s="56">
        <v>2.7798565482609099E-4</v>
      </c>
      <c r="R64" s="60">
        <v>0</v>
      </c>
      <c r="S64" s="16">
        <v>11</v>
      </c>
      <c r="T64" s="17">
        <v>9</v>
      </c>
      <c r="U64" s="18">
        <v>0.2</v>
      </c>
      <c r="W64" s="16">
        <v>0</v>
      </c>
      <c r="X64" s="17">
        <v>0</v>
      </c>
      <c r="Y64" s="17">
        <v>0</v>
      </c>
      <c r="Z64" s="17">
        <v>0</v>
      </c>
      <c r="AA64" s="17">
        <v>0</v>
      </c>
      <c r="AB64" s="17">
        <v>1</v>
      </c>
      <c r="AC64" s="17">
        <v>0</v>
      </c>
      <c r="AD64" s="17">
        <v>0</v>
      </c>
      <c r="AE64" s="17">
        <v>0</v>
      </c>
      <c r="AF64" s="17">
        <v>0</v>
      </c>
      <c r="AG64" s="18">
        <v>0</v>
      </c>
      <c r="AI64" s="16">
        <v>0</v>
      </c>
      <c r="AJ64" s="17">
        <v>0</v>
      </c>
      <c r="AK64" s="17">
        <v>0</v>
      </c>
      <c r="AL64" s="17">
        <v>0</v>
      </c>
      <c r="AM64" s="17">
        <v>0</v>
      </c>
      <c r="AN64" s="17">
        <v>1</v>
      </c>
      <c r="AO64" s="17">
        <v>0</v>
      </c>
      <c r="AP64" s="17">
        <v>0</v>
      </c>
      <c r="AQ64" s="17">
        <v>0</v>
      </c>
      <c r="AR64" s="17">
        <v>0</v>
      </c>
      <c r="AS64" s="17">
        <v>0</v>
      </c>
      <c r="AT64" s="17">
        <v>0</v>
      </c>
      <c r="AU64" s="17">
        <v>0</v>
      </c>
      <c r="AV64" s="17">
        <v>0</v>
      </c>
      <c r="AW64" s="17">
        <v>0</v>
      </c>
      <c r="AX64" s="17">
        <v>0</v>
      </c>
      <c r="AY64" s="17">
        <v>0</v>
      </c>
      <c r="AZ64" s="17">
        <v>0</v>
      </c>
      <c r="BA64" s="17">
        <v>0</v>
      </c>
      <c r="BB64" s="17">
        <v>0</v>
      </c>
      <c r="BC64" s="17">
        <v>0</v>
      </c>
      <c r="BD64" s="17">
        <v>0</v>
      </c>
      <c r="BE64" s="17">
        <v>0</v>
      </c>
      <c r="BF64" s="17">
        <v>0</v>
      </c>
      <c r="BG64" s="17">
        <v>0</v>
      </c>
      <c r="BH64" s="17">
        <v>0</v>
      </c>
      <c r="BI64" s="17">
        <v>0</v>
      </c>
      <c r="BJ64" s="17">
        <v>0</v>
      </c>
      <c r="BK64" s="17">
        <v>0</v>
      </c>
      <c r="BL64" s="17">
        <v>0</v>
      </c>
      <c r="BM64" s="17">
        <v>0</v>
      </c>
      <c r="BN64" s="17">
        <v>0</v>
      </c>
      <c r="BO64" s="17">
        <v>0</v>
      </c>
      <c r="BP64" s="17">
        <v>0</v>
      </c>
      <c r="BQ64" s="17">
        <v>0</v>
      </c>
      <c r="BR64" s="17">
        <v>0</v>
      </c>
      <c r="BS64" s="17">
        <v>0</v>
      </c>
      <c r="BT64" s="17">
        <v>0</v>
      </c>
      <c r="BU64" s="17">
        <v>0</v>
      </c>
      <c r="BV64" s="17">
        <v>0</v>
      </c>
      <c r="BW64" s="17">
        <v>0</v>
      </c>
      <c r="BX64" s="17">
        <v>0</v>
      </c>
      <c r="BY64" s="17">
        <v>0</v>
      </c>
      <c r="BZ64" s="17">
        <v>0</v>
      </c>
      <c r="CA64" s="17">
        <v>0</v>
      </c>
      <c r="CB64" s="17">
        <v>0</v>
      </c>
      <c r="CC64" s="17">
        <v>0</v>
      </c>
      <c r="CD64" s="17">
        <v>0</v>
      </c>
      <c r="CE64" s="17">
        <v>0</v>
      </c>
      <c r="CF64" s="17">
        <v>0</v>
      </c>
      <c r="CG64" s="17">
        <v>0</v>
      </c>
      <c r="CH64" s="17">
        <v>0</v>
      </c>
      <c r="CI64" s="17">
        <v>0</v>
      </c>
      <c r="CJ64" s="17">
        <v>0</v>
      </c>
      <c r="CK64" s="18">
        <v>0</v>
      </c>
    </row>
    <row r="65" spans="1:89">
      <c r="A65" s="5" t="s">
        <v>23</v>
      </c>
      <c r="B65" s="44" t="s">
        <v>48</v>
      </c>
      <c r="C65" s="6" t="s">
        <v>70</v>
      </c>
      <c r="D65" s="5">
        <v>50</v>
      </c>
      <c r="E65" s="31">
        <v>0.12921722501182037</v>
      </c>
      <c r="F65" s="38">
        <f t="shared" si="2"/>
        <v>0</v>
      </c>
      <c r="J65" s="44">
        <v>50</v>
      </c>
      <c r="K65" s="54">
        <v>0</v>
      </c>
      <c r="L65" s="17">
        <f t="shared" si="0"/>
        <v>0</v>
      </c>
      <c r="M65" s="52">
        <f t="shared" si="3"/>
        <v>0</v>
      </c>
      <c r="N65" s="18">
        <f t="shared" si="1"/>
        <v>0</v>
      </c>
      <c r="Q65" s="56">
        <v>4.7076273678860599E-4</v>
      </c>
      <c r="R65" s="60">
        <v>0</v>
      </c>
      <c r="S65" s="16">
        <v>11</v>
      </c>
      <c r="T65" s="17">
        <v>10</v>
      </c>
      <c r="U65" s="18">
        <v>0.2</v>
      </c>
      <c r="W65" s="16">
        <v>0</v>
      </c>
      <c r="X65" s="17">
        <v>0</v>
      </c>
      <c r="Y65" s="17">
        <v>0</v>
      </c>
      <c r="Z65" s="17">
        <v>0</v>
      </c>
      <c r="AA65" s="17">
        <v>0</v>
      </c>
      <c r="AB65" s="17">
        <v>1</v>
      </c>
      <c r="AC65" s="17">
        <v>0</v>
      </c>
      <c r="AD65" s="17">
        <v>0</v>
      </c>
      <c r="AE65" s="17">
        <v>0</v>
      </c>
      <c r="AF65" s="17">
        <v>0</v>
      </c>
      <c r="AG65" s="18">
        <v>0</v>
      </c>
      <c r="AI65" s="16">
        <v>0</v>
      </c>
      <c r="AJ65" s="17">
        <v>0</v>
      </c>
      <c r="AK65" s="17">
        <v>0</v>
      </c>
      <c r="AL65" s="17">
        <v>0</v>
      </c>
      <c r="AM65" s="17">
        <v>0</v>
      </c>
      <c r="AN65" s="17">
        <v>1</v>
      </c>
      <c r="AO65" s="17">
        <v>0</v>
      </c>
      <c r="AP65" s="17">
        <v>0</v>
      </c>
      <c r="AQ65" s="17">
        <v>0</v>
      </c>
      <c r="AR65" s="17">
        <v>0</v>
      </c>
      <c r="AS65" s="17">
        <v>0</v>
      </c>
      <c r="AT65" s="17">
        <v>0</v>
      </c>
      <c r="AU65" s="17">
        <v>0</v>
      </c>
      <c r="AV65" s="17">
        <v>0</v>
      </c>
      <c r="AW65" s="17">
        <v>0</v>
      </c>
      <c r="AX65" s="17">
        <v>0</v>
      </c>
      <c r="AY65" s="17">
        <v>0</v>
      </c>
      <c r="AZ65" s="17">
        <v>0</v>
      </c>
      <c r="BA65" s="17">
        <v>0</v>
      </c>
      <c r="BB65" s="17">
        <v>0</v>
      </c>
      <c r="BC65" s="17">
        <v>0</v>
      </c>
      <c r="BD65" s="17">
        <v>0</v>
      </c>
      <c r="BE65" s="17">
        <v>0</v>
      </c>
      <c r="BF65" s="17">
        <v>0</v>
      </c>
      <c r="BG65" s="17">
        <v>0</v>
      </c>
      <c r="BH65" s="17">
        <v>0</v>
      </c>
      <c r="BI65" s="17">
        <v>0</v>
      </c>
      <c r="BJ65" s="17">
        <v>0</v>
      </c>
      <c r="BK65" s="17">
        <v>0</v>
      </c>
      <c r="BL65" s="17">
        <v>0</v>
      </c>
      <c r="BM65" s="17">
        <v>0</v>
      </c>
      <c r="BN65" s="17">
        <v>0</v>
      </c>
      <c r="BO65" s="17">
        <v>0</v>
      </c>
      <c r="BP65" s="17">
        <v>0</v>
      </c>
      <c r="BQ65" s="17">
        <v>0</v>
      </c>
      <c r="BR65" s="17">
        <v>0</v>
      </c>
      <c r="BS65" s="17">
        <v>0</v>
      </c>
      <c r="BT65" s="17">
        <v>0</v>
      </c>
      <c r="BU65" s="17">
        <v>0</v>
      </c>
      <c r="BV65" s="17">
        <v>0</v>
      </c>
      <c r="BW65" s="17">
        <v>0</v>
      </c>
      <c r="BX65" s="17">
        <v>0</v>
      </c>
      <c r="BY65" s="17">
        <v>0</v>
      </c>
      <c r="BZ65" s="17">
        <v>0</v>
      </c>
      <c r="CA65" s="17">
        <v>0</v>
      </c>
      <c r="CB65" s="17">
        <v>0</v>
      </c>
      <c r="CC65" s="17">
        <v>0</v>
      </c>
      <c r="CD65" s="17">
        <v>0</v>
      </c>
      <c r="CE65" s="17">
        <v>0</v>
      </c>
      <c r="CF65" s="17">
        <v>0</v>
      </c>
      <c r="CG65" s="17">
        <v>0</v>
      </c>
      <c r="CH65" s="17">
        <v>0</v>
      </c>
      <c r="CI65" s="17">
        <v>0</v>
      </c>
      <c r="CJ65" s="17">
        <v>0</v>
      </c>
      <c r="CK65" s="18">
        <v>0</v>
      </c>
    </row>
    <row r="66" spans="1:89">
      <c r="A66" s="5" t="s">
        <v>23</v>
      </c>
      <c r="B66" s="44" t="s">
        <v>48</v>
      </c>
      <c r="C66" s="6" t="s">
        <v>71</v>
      </c>
      <c r="D66" s="5">
        <v>51</v>
      </c>
      <c r="E66" s="31">
        <v>0.12919758128474793</v>
      </c>
      <c r="F66" s="38">
        <f t="shared" si="2"/>
        <v>0</v>
      </c>
      <c r="J66" s="44">
        <v>51</v>
      </c>
      <c r="K66" s="54">
        <v>0</v>
      </c>
      <c r="L66" s="17">
        <f t="shared" si="0"/>
        <v>0</v>
      </c>
      <c r="M66" s="52">
        <f t="shared" si="3"/>
        <v>0</v>
      </c>
      <c r="N66" s="18">
        <f t="shared" si="1"/>
        <v>0</v>
      </c>
      <c r="Q66" s="56">
        <v>5.6197623027608797E-4</v>
      </c>
      <c r="R66" s="60">
        <v>0</v>
      </c>
      <c r="S66" s="16">
        <v>11</v>
      </c>
      <c r="T66" s="17">
        <v>12</v>
      </c>
      <c r="U66" s="18">
        <v>0.2</v>
      </c>
      <c r="W66" s="16">
        <v>0</v>
      </c>
      <c r="X66" s="17">
        <v>0</v>
      </c>
      <c r="Y66" s="17">
        <v>0</v>
      </c>
      <c r="Z66" s="17">
        <v>0</v>
      </c>
      <c r="AA66" s="17">
        <v>0</v>
      </c>
      <c r="AB66" s="17">
        <v>1</v>
      </c>
      <c r="AC66" s="17">
        <v>0</v>
      </c>
      <c r="AD66" s="17">
        <v>0</v>
      </c>
      <c r="AE66" s="17">
        <v>0</v>
      </c>
      <c r="AF66" s="17">
        <v>0</v>
      </c>
      <c r="AG66" s="18">
        <v>0</v>
      </c>
      <c r="AI66" s="16">
        <v>0</v>
      </c>
      <c r="AJ66" s="17">
        <v>0</v>
      </c>
      <c r="AK66" s="17">
        <v>0</v>
      </c>
      <c r="AL66" s="17">
        <v>0</v>
      </c>
      <c r="AM66" s="17">
        <v>0</v>
      </c>
      <c r="AN66" s="17">
        <v>1</v>
      </c>
      <c r="AO66" s="17">
        <v>0</v>
      </c>
      <c r="AP66" s="17">
        <v>0</v>
      </c>
      <c r="AQ66" s="17">
        <v>0</v>
      </c>
      <c r="AR66" s="17">
        <v>0</v>
      </c>
      <c r="AS66" s="17">
        <v>0</v>
      </c>
      <c r="AT66" s="17">
        <v>0</v>
      </c>
      <c r="AU66" s="17">
        <v>0</v>
      </c>
      <c r="AV66" s="17">
        <v>0</v>
      </c>
      <c r="AW66" s="17">
        <v>0</v>
      </c>
      <c r="AX66" s="17">
        <v>0</v>
      </c>
      <c r="AY66" s="17">
        <v>0</v>
      </c>
      <c r="AZ66" s="17">
        <v>0</v>
      </c>
      <c r="BA66" s="17">
        <v>0</v>
      </c>
      <c r="BB66" s="17">
        <v>0</v>
      </c>
      <c r="BC66" s="17">
        <v>0</v>
      </c>
      <c r="BD66" s="17">
        <v>0</v>
      </c>
      <c r="BE66" s="17">
        <v>0</v>
      </c>
      <c r="BF66" s="17">
        <v>0</v>
      </c>
      <c r="BG66" s="17">
        <v>0</v>
      </c>
      <c r="BH66" s="17">
        <v>0</v>
      </c>
      <c r="BI66" s="17">
        <v>0</v>
      </c>
      <c r="BJ66" s="17">
        <v>0</v>
      </c>
      <c r="BK66" s="17">
        <v>0</v>
      </c>
      <c r="BL66" s="17">
        <v>0</v>
      </c>
      <c r="BM66" s="17">
        <v>0</v>
      </c>
      <c r="BN66" s="17">
        <v>0</v>
      </c>
      <c r="BO66" s="17">
        <v>0</v>
      </c>
      <c r="BP66" s="17">
        <v>0</v>
      </c>
      <c r="BQ66" s="17">
        <v>0</v>
      </c>
      <c r="BR66" s="17">
        <v>0</v>
      </c>
      <c r="BS66" s="17">
        <v>0</v>
      </c>
      <c r="BT66" s="17">
        <v>0</v>
      </c>
      <c r="BU66" s="17">
        <v>0</v>
      </c>
      <c r="BV66" s="17">
        <v>0</v>
      </c>
      <c r="BW66" s="17">
        <v>0</v>
      </c>
      <c r="BX66" s="17">
        <v>0</v>
      </c>
      <c r="BY66" s="17">
        <v>0</v>
      </c>
      <c r="BZ66" s="17">
        <v>0</v>
      </c>
      <c r="CA66" s="17">
        <v>0</v>
      </c>
      <c r="CB66" s="17">
        <v>0</v>
      </c>
      <c r="CC66" s="17">
        <v>0</v>
      </c>
      <c r="CD66" s="17">
        <v>0</v>
      </c>
      <c r="CE66" s="17">
        <v>0</v>
      </c>
      <c r="CF66" s="17">
        <v>0</v>
      </c>
      <c r="CG66" s="17">
        <v>0</v>
      </c>
      <c r="CH66" s="17">
        <v>0</v>
      </c>
      <c r="CI66" s="17">
        <v>0</v>
      </c>
      <c r="CJ66" s="17">
        <v>0</v>
      </c>
      <c r="CK66" s="18">
        <v>0</v>
      </c>
    </row>
    <row r="67" spans="1:89">
      <c r="A67" s="5" t="s">
        <v>23</v>
      </c>
      <c r="B67" s="44" t="s">
        <v>48</v>
      </c>
      <c r="C67" s="6" t="s">
        <v>72</v>
      </c>
      <c r="D67" s="5">
        <v>52</v>
      </c>
      <c r="E67" s="31">
        <v>0.12922516495050923</v>
      </c>
      <c r="F67" s="38">
        <f t="shared" si="2"/>
        <v>0</v>
      </c>
      <c r="J67" s="44">
        <v>52</v>
      </c>
      <c r="K67" s="54">
        <v>0</v>
      </c>
      <c r="L67" s="17">
        <f t="shared" si="0"/>
        <v>0</v>
      </c>
      <c r="M67" s="52">
        <f t="shared" si="3"/>
        <v>0</v>
      </c>
      <c r="N67" s="18">
        <f t="shared" si="1"/>
        <v>0</v>
      </c>
      <c r="Q67" s="56">
        <v>2.9299169754411398E-4</v>
      </c>
      <c r="R67" s="60">
        <v>0</v>
      </c>
      <c r="S67" s="16">
        <v>11</v>
      </c>
      <c r="T67" s="17">
        <v>68</v>
      </c>
      <c r="U67" s="18">
        <v>0.2</v>
      </c>
      <c r="W67" s="16">
        <v>0</v>
      </c>
      <c r="X67" s="17">
        <v>0</v>
      </c>
      <c r="Y67" s="17">
        <v>0</v>
      </c>
      <c r="Z67" s="17">
        <v>0</v>
      </c>
      <c r="AA67" s="17">
        <v>0</v>
      </c>
      <c r="AB67" s="17">
        <v>1</v>
      </c>
      <c r="AC67" s="17">
        <v>0</v>
      </c>
      <c r="AD67" s="17">
        <v>0</v>
      </c>
      <c r="AE67" s="17">
        <v>0</v>
      </c>
      <c r="AF67" s="17">
        <v>0</v>
      </c>
      <c r="AG67" s="18">
        <v>0</v>
      </c>
      <c r="AI67" s="16">
        <v>0</v>
      </c>
      <c r="AJ67" s="17">
        <v>0</v>
      </c>
      <c r="AK67" s="17">
        <v>0</v>
      </c>
      <c r="AL67" s="17">
        <v>0</v>
      </c>
      <c r="AM67" s="17">
        <v>0</v>
      </c>
      <c r="AN67" s="17">
        <v>1</v>
      </c>
      <c r="AO67" s="17">
        <v>0</v>
      </c>
      <c r="AP67" s="17">
        <v>0</v>
      </c>
      <c r="AQ67" s="17">
        <v>0</v>
      </c>
      <c r="AR67" s="17">
        <v>0</v>
      </c>
      <c r="AS67" s="17">
        <v>0</v>
      </c>
      <c r="AT67" s="17">
        <v>0</v>
      </c>
      <c r="AU67" s="17">
        <v>0</v>
      </c>
      <c r="AV67" s="17">
        <v>0</v>
      </c>
      <c r="AW67" s="17">
        <v>0</v>
      </c>
      <c r="AX67" s="17">
        <v>0</v>
      </c>
      <c r="AY67" s="17">
        <v>0</v>
      </c>
      <c r="AZ67" s="17">
        <v>0</v>
      </c>
      <c r="BA67" s="17">
        <v>0</v>
      </c>
      <c r="BB67" s="17">
        <v>0</v>
      </c>
      <c r="BC67" s="17">
        <v>0</v>
      </c>
      <c r="BD67" s="17">
        <v>0</v>
      </c>
      <c r="BE67" s="17">
        <v>0</v>
      </c>
      <c r="BF67" s="17">
        <v>0</v>
      </c>
      <c r="BG67" s="17">
        <v>0</v>
      </c>
      <c r="BH67" s="17">
        <v>0</v>
      </c>
      <c r="BI67" s="17">
        <v>0</v>
      </c>
      <c r="BJ67" s="17">
        <v>0</v>
      </c>
      <c r="BK67" s="17">
        <v>0</v>
      </c>
      <c r="BL67" s="17">
        <v>0</v>
      </c>
      <c r="BM67" s="17">
        <v>0</v>
      </c>
      <c r="BN67" s="17">
        <v>0</v>
      </c>
      <c r="BO67" s="17">
        <v>0</v>
      </c>
      <c r="BP67" s="17">
        <v>0</v>
      </c>
      <c r="BQ67" s="17">
        <v>0</v>
      </c>
      <c r="BR67" s="17">
        <v>0</v>
      </c>
      <c r="BS67" s="17">
        <v>0</v>
      </c>
      <c r="BT67" s="17">
        <v>0</v>
      </c>
      <c r="BU67" s="17">
        <v>0</v>
      </c>
      <c r="BV67" s="17">
        <v>0</v>
      </c>
      <c r="BW67" s="17">
        <v>0</v>
      </c>
      <c r="BX67" s="17">
        <v>0</v>
      </c>
      <c r="BY67" s="17">
        <v>0</v>
      </c>
      <c r="BZ67" s="17">
        <v>0</v>
      </c>
      <c r="CA67" s="17">
        <v>0</v>
      </c>
      <c r="CB67" s="17">
        <v>0</v>
      </c>
      <c r="CC67" s="17">
        <v>0</v>
      </c>
      <c r="CD67" s="17">
        <v>0</v>
      </c>
      <c r="CE67" s="17">
        <v>0</v>
      </c>
      <c r="CF67" s="17">
        <v>0</v>
      </c>
      <c r="CG67" s="17">
        <v>0</v>
      </c>
      <c r="CH67" s="17">
        <v>0</v>
      </c>
      <c r="CI67" s="17">
        <v>0</v>
      </c>
      <c r="CJ67" s="17">
        <v>0</v>
      </c>
      <c r="CK67" s="18">
        <v>0</v>
      </c>
    </row>
    <row r="68" spans="1:89">
      <c r="A68" s="5" t="s">
        <v>23</v>
      </c>
      <c r="B68" s="44" t="s">
        <v>48</v>
      </c>
      <c r="C68" s="6" t="s">
        <v>73</v>
      </c>
      <c r="D68" s="5">
        <v>53</v>
      </c>
      <c r="E68" s="31">
        <v>0.12537335093608312</v>
      </c>
      <c r="F68" s="38">
        <f t="shared" si="2"/>
        <v>0</v>
      </c>
      <c r="J68" s="44">
        <v>53</v>
      </c>
      <c r="K68" s="54">
        <v>0</v>
      </c>
      <c r="L68" s="17">
        <f t="shared" si="0"/>
        <v>0</v>
      </c>
      <c r="M68" s="52">
        <f t="shared" si="3"/>
        <v>0</v>
      </c>
      <c r="N68" s="18">
        <f t="shared" si="1"/>
        <v>0</v>
      </c>
      <c r="Q68" s="57">
        <v>-1.16320527314907E-4</v>
      </c>
      <c r="R68" s="60">
        <v>0</v>
      </c>
      <c r="S68" s="16">
        <v>11</v>
      </c>
      <c r="T68" s="17">
        <v>83</v>
      </c>
      <c r="U68" s="18">
        <v>0.2</v>
      </c>
      <c r="W68" s="16">
        <v>0</v>
      </c>
      <c r="X68" s="17">
        <v>0</v>
      </c>
      <c r="Y68" s="17">
        <v>0</v>
      </c>
      <c r="Z68" s="17">
        <v>0</v>
      </c>
      <c r="AA68" s="17">
        <v>0</v>
      </c>
      <c r="AB68" s="17">
        <v>1</v>
      </c>
      <c r="AC68" s="17">
        <v>0</v>
      </c>
      <c r="AD68" s="17">
        <v>0</v>
      </c>
      <c r="AE68" s="17">
        <v>0</v>
      </c>
      <c r="AF68" s="17">
        <v>0</v>
      </c>
      <c r="AG68" s="18">
        <v>0</v>
      </c>
      <c r="AI68" s="16">
        <v>0</v>
      </c>
      <c r="AJ68" s="17">
        <v>0</v>
      </c>
      <c r="AK68" s="17">
        <v>0</v>
      </c>
      <c r="AL68" s="17">
        <v>0</v>
      </c>
      <c r="AM68" s="17">
        <v>0</v>
      </c>
      <c r="AN68" s="17">
        <v>1</v>
      </c>
      <c r="AO68" s="17">
        <v>0</v>
      </c>
      <c r="AP68" s="17">
        <v>0</v>
      </c>
      <c r="AQ68" s="17">
        <v>0</v>
      </c>
      <c r="AR68" s="17">
        <v>0</v>
      </c>
      <c r="AS68" s="17">
        <v>0</v>
      </c>
      <c r="AT68" s="17">
        <v>0</v>
      </c>
      <c r="AU68" s="17">
        <v>0</v>
      </c>
      <c r="AV68" s="17">
        <v>0</v>
      </c>
      <c r="AW68" s="17">
        <v>0</v>
      </c>
      <c r="AX68" s="17">
        <v>0</v>
      </c>
      <c r="AY68" s="17">
        <v>0</v>
      </c>
      <c r="AZ68" s="17">
        <v>0</v>
      </c>
      <c r="BA68" s="17">
        <v>0</v>
      </c>
      <c r="BB68" s="17">
        <v>0</v>
      </c>
      <c r="BC68" s="17">
        <v>0</v>
      </c>
      <c r="BD68" s="17">
        <v>0</v>
      </c>
      <c r="BE68" s="17">
        <v>0</v>
      </c>
      <c r="BF68" s="17">
        <v>0</v>
      </c>
      <c r="BG68" s="17">
        <v>0</v>
      </c>
      <c r="BH68" s="17">
        <v>0</v>
      </c>
      <c r="BI68" s="17">
        <v>0</v>
      </c>
      <c r="BJ68" s="17">
        <v>0</v>
      </c>
      <c r="BK68" s="17">
        <v>0</v>
      </c>
      <c r="BL68" s="17">
        <v>0</v>
      </c>
      <c r="BM68" s="17">
        <v>0</v>
      </c>
      <c r="BN68" s="17">
        <v>0</v>
      </c>
      <c r="BO68" s="17">
        <v>0</v>
      </c>
      <c r="BP68" s="17">
        <v>0</v>
      </c>
      <c r="BQ68" s="17">
        <v>0</v>
      </c>
      <c r="BR68" s="17">
        <v>0</v>
      </c>
      <c r="BS68" s="17">
        <v>0</v>
      </c>
      <c r="BT68" s="17">
        <v>0</v>
      </c>
      <c r="BU68" s="17">
        <v>0</v>
      </c>
      <c r="BV68" s="17">
        <v>0</v>
      </c>
      <c r="BW68" s="17">
        <v>0</v>
      </c>
      <c r="BX68" s="17">
        <v>0</v>
      </c>
      <c r="BY68" s="17">
        <v>0</v>
      </c>
      <c r="BZ68" s="17">
        <v>0</v>
      </c>
      <c r="CA68" s="17">
        <v>0</v>
      </c>
      <c r="CB68" s="17">
        <v>0</v>
      </c>
      <c r="CC68" s="17">
        <v>0</v>
      </c>
      <c r="CD68" s="17">
        <v>0</v>
      </c>
      <c r="CE68" s="17">
        <v>0</v>
      </c>
      <c r="CF68" s="17">
        <v>0</v>
      </c>
      <c r="CG68" s="17">
        <v>0</v>
      </c>
      <c r="CH68" s="17">
        <v>0</v>
      </c>
      <c r="CI68" s="17">
        <v>0</v>
      </c>
      <c r="CJ68" s="17">
        <v>0</v>
      </c>
      <c r="CK68" s="18">
        <v>0</v>
      </c>
    </row>
    <row r="69" spans="1:89">
      <c r="A69" s="5" t="s">
        <v>40</v>
      </c>
      <c r="B69" s="44" t="s">
        <v>52</v>
      </c>
      <c r="C69" s="6" t="s">
        <v>53</v>
      </c>
      <c r="D69" s="5">
        <v>54</v>
      </c>
      <c r="E69" s="31">
        <v>5.6276768381458175E-2</v>
      </c>
      <c r="F69" s="38">
        <f t="shared" si="2"/>
        <v>0</v>
      </c>
      <c r="J69" s="44">
        <v>54</v>
      </c>
      <c r="K69" s="54">
        <v>0</v>
      </c>
      <c r="L69" s="17">
        <f t="shared" si="0"/>
        <v>0</v>
      </c>
      <c r="M69" s="52">
        <f t="shared" si="3"/>
        <v>0</v>
      </c>
      <c r="N69" s="18">
        <f t="shared" si="1"/>
        <v>0</v>
      </c>
      <c r="Q69" s="57">
        <v>9.2343419767334804E-5</v>
      </c>
      <c r="R69" s="60">
        <v>0</v>
      </c>
      <c r="S69" s="16">
        <v>12</v>
      </c>
      <c r="T69" s="17">
        <v>7</v>
      </c>
      <c r="U69" s="18">
        <v>0.33333333333333331</v>
      </c>
      <c r="W69" s="16">
        <v>0</v>
      </c>
      <c r="X69" s="17">
        <v>0</v>
      </c>
      <c r="Y69" s="17">
        <v>0</v>
      </c>
      <c r="Z69" s="17">
        <v>0</v>
      </c>
      <c r="AA69" s="17">
        <v>0</v>
      </c>
      <c r="AB69" s="17">
        <v>0</v>
      </c>
      <c r="AC69" s="17">
        <v>1</v>
      </c>
      <c r="AD69" s="17">
        <v>0</v>
      </c>
      <c r="AE69" s="17">
        <v>0</v>
      </c>
      <c r="AF69" s="17">
        <v>0</v>
      </c>
      <c r="AG69" s="18">
        <v>0</v>
      </c>
      <c r="AI69" s="16">
        <v>0</v>
      </c>
      <c r="AJ69" s="17">
        <v>0</v>
      </c>
      <c r="AK69" s="17">
        <v>0</v>
      </c>
      <c r="AL69" s="17">
        <v>0</v>
      </c>
      <c r="AM69" s="17">
        <v>0</v>
      </c>
      <c r="AN69" s="17">
        <v>0</v>
      </c>
      <c r="AO69" s="17">
        <v>1</v>
      </c>
      <c r="AP69" s="17">
        <v>0</v>
      </c>
      <c r="AQ69" s="17">
        <v>0</v>
      </c>
      <c r="AR69" s="17">
        <v>0</v>
      </c>
      <c r="AS69" s="17">
        <v>0</v>
      </c>
      <c r="AT69" s="17">
        <v>0</v>
      </c>
      <c r="AU69" s="17">
        <v>0</v>
      </c>
      <c r="AV69" s="17">
        <v>0</v>
      </c>
      <c r="AW69" s="17">
        <v>0</v>
      </c>
      <c r="AX69" s="17">
        <v>0</v>
      </c>
      <c r="AY69" s="17">
        <v>0</v>
      </c>
      <c r="AZ69" s="17">
        <v>0</v>
      </c>
      <c r="BA69" s="17">
        <v>0</v>
      </c>
      <c r="BB69" s="17">
        <v>0</v>
      </c>
      <c r="BC69" s="17">
        <v>0</v>
      </c>
      <c r="BD69" s="17">
        <v>0</v>
      </c>
      <c r="BE69" s="17">
        <v>0</v>
      </c>
      <c r="BF69" s="17">
        <v>0</v>
      </c>
      <c r="BG69" s="17">
        <v>0</v>
      </c>
      <c r="BH69" s="17">
        <v>0</v>
      </c>
      <c r="BI69" s="17">
        <v>0</v>
      </c>
      <c r="BJ69" s="17">
        <v>0</v>
      </c>
      <c r="BK69" s="17">
        <v>0</v>
      </c>
      <c r="BL69" s="17">
        <v>0</v>
      </c>
      <c r="BM69" s="17">
        <v>0</v>
      </c>
      <c r="BN69" s="17">
        <v>0</v>
      </c>
      <c r="BO69" s="17">
        <v>0</v>
      </c>
      <c r="BP69" s="17">
        <v>0</v>
      </c>
      <c r="BQ69" s="17">
        <v>0</v>
      </c>
      <c r="BR69" s="17">
        <v>0</v>
      </c>
      <c r="BS69" s="17">
        <v>0</v>
      </c>
      <c r="BT69" s="17">
        <v>0</v>
      </c>
      <c r="BU69" s="17">
        <v>0</v>
      </c>
      <c r="BV69" s="17">
        <v>0</v>
      </c>
      <c r="BW69" s="17">
        <v>0</v>
      </c>
      <c r="BX69" s="17">
        <v>0</v>
      </c>
      <c r="BY69" s="17">
        <v>0</v>
      </c>
      <c r="BZ69" s="17">
        <v>0</v>
      </c>
      <c r="CA69" s="17">
        <v>0</v>
      </c>
      <c r="CB69" s="17">
        <v>0</v>
      </c>
      <c r="CC69" s="17">
        <v>0</v>
      </c>
      <c r="CD69" s="17">
        <v>0</v>
      </c>
      <c r="CE69" s="17">
        <v>0</v>
      </c>
      <c r="CF69" s="17">
        <v>0</v>
      </c>
      <c r="CG69" s="17">
        <v>0</v>
      </c>
      <c r="CH69" s="17">
        <v>0</v>
      </c>
      <c r="CI69" s="17">
        <v>0</v>
      </c>
      <c r="CJ69" s="17">
        <v>0</v>
      </c>
      <c r="CK69" s="18">
        <v>0</v>
      </c>
    </row>
    <row r="70" spans="1:89" ht="15.75" thickBot="1">
      <c r="A70" s="5" t="s">
        <v>40</v>
      </c>
      <c r="B70" s="44" t="s">
        <v>52</v>
      </c>
      <c r="C70" s="6" t="s">
        <v>56</v>
      </c>
      <c r="D70" s="5">
        <v>55</v>
      </c>
      <c r="E70" s="31">
        <v>9.6164663531526001E-2</v>
      </c>
      <c r="F70" s="38">
        <f t="shared" si="2"/>
        <v>0</v>
      </c>
      <c r="J70" s="44">
        <v>55</v>
      </c>
      <c r="K70" s="54">
        <v>0</v>
      </c>
      <c r="L70" s="17">
        <f t="shared" si="0"/>
        <v>0</v>
      </c>
      <c r="M70" s="52">
        <f t="shared" si="3"/>
        <v>0</v>
      </c>
      <c r="N70" s="18">
        <f t="shared" si="1"/>
        <v>0</v>
      </c>
      <c r="Q70" s="58">
        <v>1.5684552834307301E-4</v>
      </c>
      <c r="R70" s="60">
        <v>3.79192931903913E-2</v>
      </c>
      <c r="S70" s="16">
        <v>12</v>
      </c>
      <c r="T70" s="17">
        <v>10</v>
      </c>
      <c r="U70" s="18">
        <v>0.33333333333333331</v>
      </c>
      <c r="W70" s="16">
        <v>0</v>
      </c>
      <c r="X70" s="17">
        <v>0</v>
      </c>
      <c r="Y70" s="17">
        <v>0</v>
      </c>
      <c r="Z70" s="17">
        <v>0</v>
      </c>
      <c r="AA70" s="17">
        <v>0</v>
      </c>
      <c r="AB70" s="17">
        <v>0</v>
      </c>
      <c r="AC70" s="17">
        <v>1</v>
      </c>
      <c r="AD70" s="17">
        <v>0</v>
      </c>
      <c r="AE70" s="17">
        <v>0</v>
      </c>
      <c r="AF70" s="17">
        <v>0</v>
      </c>
      <c r="AG70" s="18">
        <v>0</v>
      </c>
      <c r="AI70" s="16">
        <v>0</v>
      </c>
      <c r="AJ70" s="17">
        <v>0</v>
      </c>
      <c r="AK70" s="17">
        <v>0</v>
      </c>
      <c r="AL70" s="17">
        <v>0</v>
      </c>
      <c r="AM70" s="17">
        <v>0</v>
      </c>
      <c r="AN70" s="17">
        <v>0</v>
      </c>
      <c r="AO70" s="17">
        <v>1</v>
      </c>
      <c r="AP70" s="17">
        <v>0</v>
      </c>
      <c r="AQ70" s="17">
        <v>0</v>
      </c>
      <c r="AR70" s="17">
        <v>0</v>
      </c>
      <c r="AS70" s="17">
        <v>0</v>
      </c>
      <c r="AT70" s="17">
        <v>0</v>
      </c>
      <c r="AU70" s="17">
        <v>0</v>
      </c>
      <c r="AV70" s="17">
        <v>0</v>
      </c>
      <c r="AW70" s="17">
        <v>0</v>
      </c>
      <c r="AX70" s="17">
        <v>0</v>
      </c>
      <c r="AY70" s="17">
        <v>0</v>
      </c>
      <c r="AZ70" s="17">
        <v>0</v>
      </c>
      <c r="BA70" s="17">
        <v>0</v>
      </c>
      <c r="BB70" s="17">
        <v>0</v>
      </c>
      <c r="BC70" s="17">
        <v>0</v>
      </c>
      <c r="BD70" s="17">
        <v>0</v>
      </c>
      <c r="BE70" s="17">
        <v>0</v>
      </c>
      <c r="BF70" s="17">
        <v>0</v>
      </c>
      <c r="BG70" s="17">
        <v>0</v>
      </c>
      <c r="BH70" s="17">
        <v>0</v>
      </c>
      <c r="BI70" s="17">
        <v>0</v>
      </c>
      <c r="BJ70" s="17">
        <v>0</v>
      </c>
      <c r="BK70" s="17">
        <v>0</v>
      </c>
      <c r="BL70" s="17">
        <v>0</v>
      </c>
      <c r="BM70" s="17">
        <v>0</v>
      </c>
      <c r="BN70" s="17">
        <v>0</v>
      </c>
      <c r="BO70" s="17">
        <v>0</v>
      </c>
      <c r="BP70" s="17">
        <v>0</v>
      </c>
      <c r="BQ70" s="17">
        <v>0</v>
      </c>
      <c r="BR70" s="17">
        <v>0</v>
      </c>
      <c r="BS70" s="17">
        <v>0</v>
      </c>
      <c r="BT70" s="17">
        <v>0</v>
      </c>
      <c r="BU70" s="17">
        <v>0</v>
      </c>
      <c r="BV70" s="17">
        <v>0</v>
      </c>
      <c r="BW70" s="17">
        <v>0</v>
      </c>
      <c r="BX70" s="17">
        <v>0</v>
      </c>
      <c r="BY70" s="17">
        <v>0</v>
      </c>
      <c r="BZ70" s="17">
        <v>0</v>
      </c>
      <c r="CA70" s="17">
        <v>0</v>
      </c>
      <c r="CB70" s="17">
        <v>0</v>
      </c>
      <c r="CC70" s="17">
        <v>0</v>
      </c>
      <c r="CD70" s="17">
        <v>0</v>
      </c>
      <c r="CE70" s="17">
        <v>0</v>
      </c>
      <c r="CF70" s="17">
        <v>0</v>
      </c>
      <c r="CG70" s="17">
        <v>0</v>
      </c>
      <c r="CH70" s="17">
        <v>0</v>
      </c>
      <c r="CI70" s="17">
        <v>0</v>
      </c>
      <c r="CJ70" s="17">
        <v>0</v>
      </c>
      <c r="CK70" s="18">
        <v>0</v>
      </c>
    </row>
    <row r="71" spans="1:89">
      <c r="A71" s="5" t="s">
        <v>40</v>
      </c>
      <c r="B71" s="44" t="s">
        <v>52</v>
      </c>
      <c r="C71" s="6" t="s">
        <v>57</v>
      </c>
      <c r="D71" s="5">
        <v>56</v>
      </c>
      <c r="E71" s="31">
        <v>7.798206522543237E-2</v>
      </c>
      <c r="F71" s="38">
        <f t="shared" si="2"/>
        <v>0</v>
      </c>
      <c r="J71" s="44">
        <v>56</v>
      </c>
      <c r="K71" s="54">
        <v>0</v>
      </c>
      <c r="L71" s="17">
        <f t="shared" si="0"/>
        <v>0</v>
      </c>
      <c r="M71" s="52">
        <f t="shared" si="3"/>
        <v>0</v>
      </c>
      <c r="N71" s="18">
        <f t="shared" si="1"/>
        <v>0</v>
      </c>
      <c r="R71" s="60">
        <v>2.1782436284098899E-2</v>
      </c>
      <c r="S71" s="16">
        <v>12</v>
      </c>
      <c r="T71" s="17">
        <v>11</v>
      </c>
      <c r="U71" s="18">
        <v>0.33333333333333331</v>
      </c>
      <c r="W71" s="16">
        <v>0</v>
      </c>
      <c r="X71" s="17">
        <v>0</v>
      </c>
      <c r="Y71" s="17">
        <v>0</v>
      </c>
      <c r="Z71" s="17">
        <v>0</v>
      </c>
      <c r="AA71" s="17">
        <v>0</v>
      </c>
      <c r="AB71" s="17">
        <v>0</v>
      </c>
      <c r="AC71" s="17">
        <v>1</v>
      </c>
      <c r="AD71" s="17">
        <v>0</v>
      </c>
      <c r="AE71" s="17">
        <v>0</v>
      </c>
      <c r="AF71" s="17">
        <v>0</v>
      </c>
      <c r="AG71" s="18">
        <v>0</v>
      </c>
      <c r="AI71" s="16">
        <v>0</v>
      </c>
      <c r="AJ71" s="17">
        <v>0</v>
      </c>
      <c r="AK71" s="17">
        <v>0</v>
      </c>
      <c r="AL71" s="17">
        <v>0</v>
      </c>
      <c r="AM71" s="17">
        <v>0</v>
      </c>
      <c r="AN71" s="17">
        <v>0</v>
      </c>
      <c r="AO71" s="17">
        <v>1</v>
      </c>
      <c r="AP71" s="17">
        <v>0</v>
      </c>
      <c r="AQ71" s="17">
        <v>0</v>
      </c>
      <c r="AR71" s="17">
        <v>0</v>
      </c>
      <c r="AS71" s="17">
        <v>0</v>
      </c>
      <c r="AT71" s="17">
        <v>0</v>
      </c>
      <c r="AU71" s="17">
        <v>0</v>
      </c>
      <c r="AV71" s="17">
        <v>0</v>
      </c>
      <c r="AW71" s="17">
        <v>0</v>
      </c>
      <c r="AX71" s="17">
        <v>0</v>
      </c>
      <c r="AY71" s="17">
        <v>0</v>
      </c>
      <c r="AZ71" s="17">
        <v>0</v>
      </c>
      <c r="BA71" s="17">
        <v>0</v>
      </c>
      <c r="BB71" s="17">
        <v>0</v>
      </c>
      <c r="BC71" s="17">
        <v>0</v>
      </c>
      <c r="BD71" s="17">
        <v>0</v>
      </c>
      <c r="BE71" s="17">
        <v>0</v>
      </c>
      <c r="BF71" s="17">
        <v>0</v>
      </c>
      <c r="BG71" s="17">
        <v>0</v>
      </c>
      <c r="BH71" s="17">
        <v>0</v>
      </c>
      <c r="BI71" s="17">
        <v>0</v>
      </c>
      <c r="BJ71" s="17">
        <v>0</v>
      </c>
      <c r="BK71" s="17">
        <v>0</v>
      </c>
      <c r="BL71" s="17">
        <v>0</v>
      </c>
      <c r="BM71" s="17">
        <v>0</v>
      </c>
      <c r="BN71" s="17">
        <v>0</v>
      </c>
      <c r="BO71" s="17">
        <v>0</v>
      </c>
      <c r="BP71" s="17">
        <v>0</v>
      </c>
      <c r="BQ71" s="17">
        <v>0</v>
      </c>
      <c r="BR71" s="17">
        <v>0</v>
      </c>
      <c r="BS71" s="17">
        <v>0</v>
      </c>
      <c r="BT71" s="17">
        <v>0</v>
      </c>
      <c r="BU71" s="17">
        <v>0</v>
      </c>
      <c r="BV71" s="17">
        <v>0</v>
      </c>
      <c r="BW71" s="17">
        <v>0</v>
      </c>
      <c r="BX71" s="17">
        <v>0</v>
      </c>
      <c r="BY71" s="17">
        <v>0</v>
      </c>
      <c r="BZ71" s="17">
        <v>0</v>
      </c>
      <c r="CA71" s="17">
        <v>0</v>
      </c>
      <c r="CB71" s="17">
        <v>0</v>
      </c>
      <c r="CC71" s="17">
        <v>0</v>
      </c>
      <c r="CD71" s="17">
        <v>0</v>
      </c>
      <c r="CE71" s="17">
        <v>0</v>
      </c>
      <c r="CF71" s="17">
        <v>0</v>
      </c>
      <c r="CG71" s="17">
        <v>0</v>
      </c>
      <c r="CH71" s="17">
        <v>0</v>
      </c>
      <c r="CI71" s="17">
        <v>0</v>
      </c>
      <c r="CJ71" s="17">
        <v>0</v>
      </c>
      <c r="CK71" s="18">
        <v>0</v>
      </c>
    </row>
    <row r="72" spans="1:89">
      <c r="A72" s="5" t="s">
        <v>40</v>
      </c>
      <c r="B72" s="44" t="s">
        <v>52</v>
      </c>
      <c r="C72" s="6" t="s">
        <v>61</v>
      </c>
      <c r="D72" s="5">
        <v>57</v>
      </c>
      <c r="E72" s="31">
        <v>6.0906722227602891E-2</v>
      </c>
      <c r="F72" s="38">
        <f t="shared" si="2"/>
        <v>0</v>
      </c>
      <c r="J72" s="44">
        <v>57</v>
      </c>
      <c r="K72" s="54">
        <v>0</v>
      </c>
      <c r="L72" s="17">
        <f t="shared" si="0"/>
        <v>0</v>
      </c>
      <c r="M72" s="52">
        <f t="shared" si="3"/>
        <v>0</v>
      </c>
      <c r="N72" s="18">
        <f t="shared" si="1"/>
        <v>0</v>
      </c>
      <c r="R72" s="60">
        <v>0</v>
      </c>
      <c r="S72" s="16">
        <v>13</v>
      </c>
      <c r="T72" s="17">
        <v>3</v>
      </c>
      <c r="U72" s="18">
        <v>0.25</v>
      </c>
      <c r="W72" s="16">
        <v>0</v>
      </c>
      <c r="X72" s="17">
        <v>0</v>
      </c>
      <c r="Y72" s="17">
        <v>0</v>
      </c>
      <c r="Z72" s="17">
        <v>0</v>
      </c>
      <c r="AA72" s="17">
        <v>0</v>
      </c>
      <c r="AB72" s="17">
        <v>0</v>
      </c>
      <c r="AC72" s="17">
        <v>1</v>
      </c>
      <c r="AD72" s="17">
        <v>0</v>
      </c>
      <c r="AE72" s="17">
        <v>0</v>
      </c>
      <c r="AF72" s="17">
        <v>0</v>
      </c>
      <c r="AG72" s="18">
        <v>0</v>
      </c>
      <c r="AI72" s="16">
        <v>0</v>
      </c>
      <c r="AJ72" s="17">
        <v>0</v>
      </c>
      <c r="AK72" s="17">
        <v>0</v>
      </c>
      <c r="AL72" s="17">
        <v>0</v>
      </c>
      <c r="AM72" s="17">
        <v>0</v>
      </c>
      <c r="AN72" s="17">
        <v>0</v>
      </c>
      <c r="AO72" s="17">
        <v>1</v>
      </c>
      <c r="AP72" s="17">
        <v>0</v>
      </c>
      <c r="AQ72" s="17">
        <v>0</v>
      </c>
      <c r="AR72" s="17">
        <v>0</v>
      </c>
      <c r="AS72" s="17">
        <v>0</v>
      </c>
      <c r="AT72" s="17">
        <v>0</v>
      </c>
      <c r="AU72" s="17">
        <v>0</v>
      </c>
      <c r="AV72" s="17">
        <v>0</v>
      </c>
      <c r="AW72" s="17">
        <v>0</v>
      </c>
      <c r="AX72" s="17">
        <v>0</v>
      </c>
      <c r="AY72" s="17">
        <v>0</v>
      </c>
      <c r="AZ72" s="17">
        <v>0</v>
      </c>
      <c r="BA72" s="17">
        <v>0</v>
      </c>
      <c r="BB72" s="17">
        <v>0</v>
      </c>
      <c r="BC72" s="17">
        <v>0</v>
      </c>
      <c r="BD72" s="17">
        <v>0</v>
      </c>
      <c r="BE72" s="17">
        <v>0</v>
      </c>
      <c r="BF72" s="17">
        <v>0</v>
      </c>
      <c r="BG72" s="17">
        <v>0</v>
      </c>
      <c r="BH72" s="17">
        <v>0</v>
      </c>
      <c r="BI72" s="17">
        <v>0</v>
      </c>
      <c r="BJ72" s="17">
        <v>0</v>
      </c>
      <c r="BK72" s="17">
        <v>0</v>
      </c>
      <c r="BL72" s="17">
        <v>0</v>
      </c>
      <c r="BM72" s="17">
        <v>0</v>
      </c>
      <c r="BN72" s="17">
        <v>0</v>
      </c>
      <c r="BO72" s="17">
        <v>0</v>
      </c>
      <c r="BP72" s="17">
        <v>0</v>
      </c>
      <c r="BQ72" s="17">
        <v>0</v>
      </c>
      <c r="BR72" s="17">
        <v>0</v>
      </c>
      <c r="BS72" s="17">
        <v>0</v>
      </c>
      <c r="BT72" s="17">
        <v>0</v>
      </c>
      <c r="BU72" s="17">
        <v>0</v>
      </c>
      <c r="BV72" s="17">
        <v>0</v>
      </c>
      <c r="BW72" s="17">
        <v>0</v>
      </c>
      <c r="BX72" s="17">
        <v>0</v>
      </c>
      <c r="BY72" s="17">
        <v>0</v>
      </c>
      <c r="BZ72" s="17">
        <v>0</v>
      </c>
      <c r="CA72" s="17">
        <v>0</v>
      </c>
      <c r="CB72" s="17">
        <v>0</v>
      </c>
      <c r="CC72" s="17">
        <v>0</v>
      </c>
      <c r="CD72" s="17">
        <v>0</v>
      </c>
      <c r="CE72" s="17">
        <v>0</v>
      </c>
      <c r="CF72" s="17">
        <v>0</v>
      </c>
      <c r="CG72" s="17">
        <v>0</v>
      </c>
      <c r="CH72" s="17">
        <v>0</v>
      </c>
      <c r="CI72" s="17">
        <v>0</v>
      </c>
      <c r="CJ72" s="17">
        <v>0</v>
      </c>
      <c r="CK72" s="18">
        <v>0</v>
      </c>
    </row>
    <row r="73" spans="1:89">
      <c r="A73" s="5" t="s">
        <v>40</v>
      </c>
      <c r="B73" s="44" t="s">
        <v>52</v>
      </c>
      <c r="C73" s="6" t="s">
        <v>66</v>
      </c>
      <c r="D73" s="5">
        <v>58</v>
      </c>
      <c r="E73" s="31">
        <v>5.6020539952805176E-2</v>
      </c>
      <c r="F73" s="38">
        <f t="shared" si="2"/>
        <v>0</v>
      </c>
      <c r="J73" s="44">
        <v>58</v>
      </c>
      <c r="K73" s="54">
        <v>0</v>
      </c>
      <c r="L73" s="17">
        <f t="shared" si="0"/>
        <v>0</v>
      </c>
      <c r="M73" s="52">
        <f t="shared" si="3"/>
        <v>0</v>
      </c>
      <c r="N73" s="18">
        <f t="shared" si="1"/>
        <v>0</v>
      </c>
      <c r="R73" s="60">
        <v>0</v>
      </c>
      <c r="S73" s="16">
        <v>13</v>
      </c>
      <c r="T73" s="17">
        <v>8</v>
      </c>
      <c r="U73" s="18">
        <v>0.25</v>
      </c>
      <c r="W73" s="16">
        <v>0</v>
      </c>
      <c r="X73" s="17">
        <v>0</v>
      </c>
      <c r="Y73" s="17">
        <v>0</v>
      </c>
      <c r="Z73" s="17">
        <v>0</v>
      </c>
      <c r="AA73" s="17">
        <v>0</v>
      </c>
      <c r="AB73" s="17">
        <v>0</v>
      </c>
      <c r="AC73" s="17">
        <v>1</v>
      </c>
      <c r="AD73" s="17">
        <v>0</v>
      </c>
      <c r="AE73" s="17">
        <v>0</v>
      </c>
      <c r="AF73" s="17">
        <v>0</v>
      </c>
      <c r="AG73" s="18">
        <v>0</v>
      </c>
      <c r="AI73" s="16">
        <v>0</v>
      </c>
      <c r="AJ73" s="17">
        <v>0</v>
      </c>
      <c r="AK73" s="17">
        <v>0</v>
      </c>
      <c r="AL73" s="17">
        <v>0</v>
      </c>
      <c r="AM73" s="17">
        <v>0</v>
      </c>
      <c r="AN73" s="17">
        <v>0</v>
      </c>
      <c r="AO73" s="17">
        <v>1</v>
      </c>
      <c r="AP73" s="17">
        <v>0</v>
      </c>
      <c r="AQ73" s="17">
        <v>0</v>
      </c>
      <c r="AR73" s="17">
        <v>0</v>
      </c>
      <c r="AS73" s="17">
        <v>0</v>
      </c>
      <c r="AT73" s="17">
        <v>0</v>
      </c>
      <c r="AU73" s="17">
        <v>0</v>
      </c>
      <c r="AV73" s="17">
        <v>0</v>
      </c>
      <c r="AW73" s="17">
        <v>0</v>
      </c>
      <c r="AX73" s="17">
        <v>0</v>
      </c>
      <c r="AY73" s="17">
        <v>0</v>
      </c>
      <c r="AZ73" s="17">
        <v>0</v>
      </c>
      <c r="BA73" s="17">
        <v>0</v>
      </c>
      <c r="BB73" s="17">
        <v>0</v>
      </c>
      <c r="BC73" s="17">
        <v>0</v>
      </c>
      <c r="BD73" s="17">
        <v>0</v>
      </c>
      <c r="BE73" s="17">
        <v>0</v>
      </c>
      <c r="BF73" s="17">
        <v>0</v>
      </c>
      <c r="BG73" s="17">
        <v>0</v>
      </c>
      <c r="BH73" s="17">
        <v>0</v>
      </c>
      <c r="BI73" s="17">
        <v>0</v>
      </c>
      <c r="BJ73" s="17">
        <v>0</v>
      </c>
      <c r="BK73" s="17">
        <v>0</v>
      </c>
      <c r="BL73" s="17">
        <v>0</v>
      </c>
      <c r="BM73" s="17">
        <v>0</v>
      </c>
      <c r="BN73" s="17">
        <v>0</v>
      </c>
      <c r="BO73" s="17">
        <v>0</v>
      </c>
      <c r="BP73" s="17">
        <v>0</v>
      </c>
      <c r="BQ73" s="17">
        <v>0</v>
      </c>
      <c r="BR73" s="17">
        <v>0</v>
      </c>
      <c r="BS73" s="17">
        <v>0</v>
      </c>
      <c r="BT73" s="17">
        <v>0</v>
      </c>
      <c r="BU73" s="17">
        <v>0</v>
      </c>
      <c r="BV73" s="17">
        <v>0</v>
      </c>
      <c r="BW73" s="17">
        <v>0</v>
      </c>
      <c r="BX73" s="17">
        <v>0</v>
      </c>
      <c r="BY73" s="17">
        <v>0</v>
      </c>
      <c r="BZ73" s="17">
        <v>0</v>
      </c>
      <c r="CA73" s="17">
        <v>0</v>
      </c>
      <c r="CB73" s="17">
        <v>0</v>
      </c>
      <c r="CC73" s="17">
        <v>0</v>
      </c>
      <c r="CD73" s="17">
        <v>0</v>
      </c>
      <c r="CE73" s="17">
        <v>0</v>
      </c>
      <c r="CF73" s="17">
        <v>0</v>
      </c>
      <c r="CG73" s="17">
        <v>0</v>
      </c>
      <c r="CH73" s="17">
        <v>0</v>
      </c>
      <c r="CI73" s="17">
        <v>0</v>
      </c>
      <c r="CJ73" s="17">
        <v>0</v>
      </c>
      <c r="CK73" s="18">
        <v>0</v>
      </c>
    </row>
    <row r="74" spans="1:89">
      <c r="A74" s="5" t="s">
        <v>40</v>
      </c>
      <c r="B74" s="44" t="s">
        <v>52</v>
      </c>
      <c r="C74" s="6" t="s">
        <v>68</v>
      </c>
      <c r="D74" s="5">
        <v>59</v>
      </c>
      <c r="E74" s="31">
        <v>9.6499859713926397E-2</v>
      </c>
      <c r="F74" s="38">
        <f t="shared" si="2"/>
        <v>0</v>
      </c>
      <c r="J74" s="44">
        <v>59</v>
      </c>
      <c r="K74" s="54">
        <v>0</v>
      </c>
      <c r="L74" s="17">
        <f t="shared" si="0"/>
        <v>0</v>
      </c>
      <c r="M74" s="52">
        <f t="shared" si="3"/>
        <v>0</v>
      </c>
      <c r="N74" s="18">
        <f t="shared" si="1"/>
        <v>0</v>
      </c>
      <c r="R74" s="60">
        <v>3.9513849394177999E-2</v>
      </c>
      <c r="S74" s="16">
        <v>13</v>
      </c>
      <c r="T74" s="17">
        <v>10</v>
      </c>
      <c r="U74" s="18">
        <v>0.25</v>
      </c>
      <c r="W74" s="16">
        <v>0</v>
      </c>
      <c r="X74" s="17">
        <v>0</v>
      </c>
      <c r="Y74" s="17">
        <v>0</v>
      </c>
      <c r="Z74" s="17">
        <v>0</v>
      </c>
      <c r="AA74" s="17">
        <v>0</v>
      </c>
      <c r="AB74" s="17">
        <v>0</v>
      </c>
      <c r="AC74" s="17">
        <v>1</v>
      </c>
      <c r="AD74" s="17">
        <v>0</v>
      </c>
      <c r="AE74" s="17">
        <v>0</v>
      </c>
      <c r="AF74" s="17">
        <v>0</v>
      </c>
      <c r="AG74" s="18">
        <v>0</v>
      </c>
      <c r="AI74" s="16">
        <v>0</v>
      </c>
      <c r="AJ74" s="17">
        <v>0</v>
      </c>
      <c r="AK74" s="17">
        <v>0</v>
      </c>
      <c r="AL74" s="17">
        <v>0</v>
      </c>
      <c r="AM74" s="17">
        <v>0</v>
      </c>
      <c r="AN74" s="17">
        <v>0</v>
      </c>
      <c r="AO74" s="17">
        <v>1</v>
      </c>
      <c r="AP74" s="17">
        <v>0</v>
      </c>
      <c r="AQ74" s="17">
        <v>0</v>
      </c>
      <c r="AR74" s="17">
        <v>0</v>
      </c>
      <c r="AS74" s="17">
        <v>0</v>
      </c>
      <c r="AT74" s="17">
        <v>0</v>
      </c>
      <c r="AU74" s="17">
        <v>0</v>
      </c>
      <c r="AV74" s="17">
        <v>0</v>
      </c>
      <c r="AW74" s="17">
        <v>0</v>
      </c>
      <c r="AX74" s="17">
        <v>0</v>
      </c>
      <c r="AY74" s="17">
        <v>0</v>
      </c>
      <c r="AZ74" s="17">
        <v>0</v>
      </c>
      <c r="BA74" s="17">
        <v>0</v>
      </c>
      <c r="BB74" s="17">
        <v>0</v>
      </c>
      <c r="BC74" s="17">
        <v>0</v>
      </c>
      <c r="BD74" s="17">
        <v>0</v>
      </c>
      <c r="BE74" s="17">
        <v>0</v>
      </c>
      <c r="BF74" s="17">
        <v>0</v>
      </c>
      <c r="BG74" s="17">
        <v>0</v>
      </c>
      <c r="BH74" s="17">
        <v>0</v>
      </c>
      <c r="BI74" s="17">
        <v>0</v>
      </c>
      <c r="BJ74" s="17">
        <v>0</v>
      </c>
      <c r="BK74" s="17">
        <v>0</v>
      </c>
      <c r="BL74" s="17">
        <v>0</v>
      </c>
      <c r="BM74" s="17">
        <v>0</v>
      </c>
      <c r="BN74" s="17">
        <v>0</v>
      </c>
      <c r="BO74" s="17">
        <v>0</v>
      </c>
      <c r="BP74" s="17">
        <v>0</v>
      </c>
      <c r="BQ74" s="17">
        <v>0</v>
      </c>
      <c r="BR74" s="17">
        <v>0</v>
      </c>
      <c r="BS74" s="17">
        <v>0</v>
      </c>
      <c r="BT74" s="17">
        <v>0</v>
      </c>
      <c r="BU74" s="17">
        <v>0</v>
      </c>
      <c r="BV74" s="17">
        <v>0</v>
      </c>
      <c r="BW74" s="17">
        <v>0</v>
      </c>
      <c r="BX74" s="17">
        <v>0</v>
      </c>
      <c r="BY74" s="17">
        <v>0</v>
      </c>
      <c r="BZ74" s="17">
        <v>0</v>
      </c>
      <c r="CA74" s="17">
        <v>0</v>
      </c>
      <c r="CB74" s="17">
        <v>0</v>
      </c>
      <c r="CC74" s="17">
        <v>0</v>
      </c>
      <c r="CD74" s="17">
        <v>0</v>
      </c>
      <c r="CE74" s="17">
        <v>0</v>
      </c>
      <c r="CF74" s="17">
        <v>0</v>
      </c>
      <c r="CG74" s="17">
        <v>0</v>
      </c>
      <c r="CH74" s="17">
        <v>0</v>
      </c>
      <c r="CI74" s="17">
        <v>0</v>
      </c>
      <c r="CJ74" s="17">
        <v>0</v>
      </c>
      <c r="CK74" s="18">
        <v>0</v>
      </c>
    </row>
    <row r="75" spans="1:89">
      <c r="A75" s="5" t="s">
        <v>40</v>
      </c>
      <c r="B75" s="44" t="s">
        <v>74</v>
      </c>
      <c r="C75" s="6" t="s">
        <v>75</v>
      </c>
      <c r="D75" s="5">
        <v>60</v>
      </c>
      <c r="E75" s="31">
        <v>0.10046473450945194</v>
      </c>
      <c r="F75" s="38">
        <f t="shared" si="2"/>
        <v>0</v>
      </c>
      <c r="J75" s="44">
        <v>60</v>
      </c>
      <c r="K75" s="54">
        <v>0</v>
      </c>
      <c r="L75" s="17">
        <f t="shared" si="0"/>
        <v>0</v>
      </c>
      <c r="M75" s="52">
        <f t="shared" si="3"/>
        <v>0</v>
      </c>
      <c r="N75" s="18">
        <f t="shared" si="1"/>
        <v>0</v>
      </c>
      <c r="R75" s="60">
        <v>3.8745473879512903E-2</v>
      </c>
      <c r="S75" s="16">
        <v>13</v>
      </c>
      <c r="T75" s="17">
        <v>14</v>
      </c>
      <c r="U75" s="18">
        <v>0.25</v>
      </c>
      <c r="W75" s="16">
        <v>0</v>
      </c>
      <c r="X75" s="17">
        <v>0</v>
      </c>
      <c r="Y75" s="17">
        <v>0</v>
      </c>
      <c r="Z75" s="17">
        <v>0</v>
      </c>
      <c r="AA75" s="17">
        <v>0</v>
      </c>
      <c r="AB75" s="17">
        <v>0</v>
      </c>
      <c r="AC75" s="17">
        <v>0</v>
      </c>
      <c r="AD75" s="17">
        <v>1</v>
      </c>
      <c r="AE75" s="17">
        <v>0</v>
      </c>
      <c r="AF75" s="17">
        <v>0</v>
      </c>
      <c r="AG75" s="18">
        <v>0</v>
      </c>
      <c r="AI75" s="16">
        <v>0</v>
      </c>
      <c r="AJ75" s="17">
        <v>0</v>
      </c>
      <c r="AK75" s="17">
        <v>0</v>
      </c>
      <c r="AL75" s="17">
        <v>0</v>
      </c>
      <c r="AM75" s="17">
        <v>0</v>
      </c>
      <c r="AN75" s="17">
        <v>0</v>
      </c>
      <c r="AO75" s="17">
        <v>0</v>
      </c>
      <c r="AP75" s="17">
        <v>1</v>
      </c>
      <c r="AQ75" s="17">
        <v>0</v>
      </c>
      <c r="AR75" s="17">
        <v>0</v>
      </c>
      <c r="AS75" s="17">
        <v>0</v>
      </c>
      <c r="AT75" s="17">
        <v>0</v>
      </c>
      <c r="AU75" s="17">
        <v>0</v>
      </c>
      <c r="AV75" s="17">
        <v>0</v>
      </c>
      <c r="AW75" s="17">
        <v>0</v>
      </c>
      <c r="AX75" s="17">
        <v>0</v>
      </c>
      <c r="AY75" s="17">
        <v>0</v>
      </c>
      <c r="AZ75" s="17">
        <v>0</v>
      </c>
      <c r="BA75" s="17">
        <v>0</v>
      </c>
      <c r="BB75" s="17">
        <v>0</v>
      </c>
      <c r="BC75" s="17">
        <v>0</v>
      </c>
      <c r="BD75" s="17">
        <v>0</v>
      </c>
      <c r="BE75" s="17">
        <v>0</v>
      </c>
      <c r="BF75" s="17">
        <v>0</v>
      </c>
      <c r="BG75" s="17">
        <v>0</v>
      </c>
      <c r="BH75" s="17">
        <v>0</v>
      </c>
      <c r="BI75" s="17">
        <v>0</v>
      </c>
      <c r="BJ75" s="17">
        <v>0</v>
      </c>
      <c r="BK75" s="17">
        <v>0</v>
      </c>
      <c r="BL75" s="17">
        <v>0</v>
      </c>
      <c r="BM75" s="17">
        <v>0</v>
      </c>
      <c r="BN75" s="17">
        <v>0</v>
      </c>
      <c r="BO75" s="17">
        <v>0</v>
      </c>
      <c r="BP75" s="17">
        <v>0</v>
      </c>
      <c r="BQ75" s="17">
        <v>0</v>
      </c>
      <c r="BR75" s="17">
        <v>0</v>
      </c>
      <c r="BS75" s="17">
        <v>0</v>
      </c>
      <c r="BT75" s="17">
        <v>0</v>
      </c>
      <c r="BU75" s="17">
        <v>0</v>
      </c>
      <c r="BV75" s="17">
        <v>0</v>
      </c>
      <c r="BW75" s="17">
        <v>0</v>
      </c>
      <c r="BX75" s="17">
        <v>0</v>
      </c>
      <c r="BY75" s="17">
        <v>0</v>
      </c>
      <c r="BZ75" s="17">
        <v>0</v>
      </c>
      <c r="CA75" s="17">
        <v>0</v>
      </c>
      <c r="CB75" s="17">
        <v>0</v>
      </c>
      <c r="CC75" s="17">
        <v>0</v>
      </c>
      <c r="CD75" s="17">
        <v>0</v>
      </c>
      <c r="CE75" s="17">
        <v>0</v>
      </c>
      <c r="CF75" s="17">
        <v>0</v>
      </c>
      <c r="CG75" s="17">
        <v>0</v>
      </c>
      <c r="CH75" s="17">
        <v>0</v>
      </c>
      <c r="CI75" s="17">
        <v>0</v>
      </c>
      <c r="CJ75" s="17">
        <v>0</v>
      </c>
      <c r="CK75" s="18">
        <v>0</v>
      </c>
    </row>
    <row r="76" spans="1:89">
      <c r="A76" s="5" t="s">
        <v>40</v>
      </c>
      <c r="B76" s="44" t="s">
        <v>74</v>
      </c>
      <c r="C76" s="6" t="s">
        <v>76</v>
      </c>
      <c r="D76" s="5">
        <v>61</v>
      </c>
      <c r="E76" s="31">
        <v>8.8233229844620092E-2</v>
      </c>
      <c r="F76" s="38">
        <f t="shared" si="2"/>
        <v>0</v>
      </c>
      <c r="J76" s="44">
        <v>61</v>
      </c>
      <c r="K76" s="54">
        <v>0</v>
      </c>
      <c r="L76" s="17">
        <f t="shared" si="0"/>
        <v>0</v>
      </c>
      <c r="M76" s="52">
        <f t="shared" si="3"/>
        <v>0</v>
      </c>
      <c r="N76" s="18">
        <f t="shared" si="1"/>
        <v>0</v>
      </c>
      <c r="R76" s="60">
        <v>2.5795744040394301E-2</v>
      </c>
      <c r="S76" s="16">
        <v>14</v>
      </c>
      <c r="T76" s="17">
        <v>10</v>
      </c>
      <c r="U76" s="18">
        <v>0.5</v>
      </c>
      <c r="W76" s="16">
        <v>0</v>
      </c>
      <c r="X76" s="17">
        <v>0</v>
      </c>
      <c r="Y76" s="17">
        <v>0</v>
      </c>
      <c r="Z76" s="17">
        <v>0</v>
      </c>
      <c r="AA76" s="17">
        <v>0</v>
      </c>
      <c r="AB76" s="17">
        <v>0</v>
      </c>
      <c r="AC76" s="17">
        <v>0</v>
      </c>
      <c r="AD76" s="17">
        <v>1</v>
      </c>
      <c r="AE76" s="17">
        <v>0</v>
      </c>
      <c r="AF76" s="17">
        <v>0</v>
      </c>
      <c r="AG76" s="18">
        <v>0</v>
      </c>
      <c r="AI76" s="16">
        <v>0</v>
      </c>
      <c r="AJ76" s="17">
        <v>0</v>
      </c>
      <c r="AK76" s="17">
        <v>0</v>
      </c>
      <c r="AL76" s="17">
        <v>0</v>
      </c>
      <c r="AM76" s="17">
        <v>0</v>
      </c>
      <c r="AN76" s="17">
        <v>0</v>
      </c>
      <c r="AO76" s="17">
        <v>0</v>
      </c>
      <c r="AP76" s="17">
        <v>1</v>
      </c>
      <c r="AQ76" s="17">
        <v>0</v>
      </c>
      <c r="AR76" s="17">
        <v>0</v>
      </c>
      <c r="AS76" s="17">
        <v>0</v>
      </c>
      <c r="AT76" s="17">
        <v>0</v>
      </c>
      <c r="AU76" s="17">
        <v>0</v>
      </c>
      <c r="AV76" s="17">
        <v>0</v>
      </c>
      <c r="AW76" s="17">
        <v>0</v>
      </c>
      <c r="AX76" s="17">
        <v>0</v>
      </c>
      <c r="AY76" s="17">
        <v>0</v>
      </c>
      <c r="AZ76" s="17">
        <v>0</v>
      </c>
      <c r="BA76" s="17">
        <v>0</v>
      </c>
      <c r="BB76" s="17">
        <v>0</v>
      </c>
      <c r="BC76" s="17">
        <v>0</v>
      </c>
      <c r="BD76" s="17">
        <v>0</v>
      </c>
      <c r="BE76" s="17">
        <v>0</v>
      </c>
      <c r="BF76" s="17">
        <v>0</v>
      </c>
      <c r="BG76" s="17">
        <v>0</v>
      </c>
      <c r="BH76" s="17">
        <v>0</v>
      </c>
      <c r="BI76" s="17">
        <v>0</v>
      </c>
      <c r="BJ76" s="17">
        <v>0</v>
      </c>
      <c r="BK76" s="17">
        <v>0</v>
      </c>
      <c r="BL76" s="17">
        <v>0</v>
      </c>
      <c r="BM76" s="17">
        <v>0</v>
      </c>
      <c r="BN76" s="17">
        <v>0</v>
      </c>
      <c r="BO76" s="17">
        <v>0</v>
      </c>
      <c r="BP76" s="17">
        <v>0</v>
      </c>
      <c r="BQ76" s="17">
        <v>0</v>
      </c>
      <c r="BR76" s="17">
        <v>0</v>
      </c>
      <c r="BS76" s="17">
        <v>0</v>
      </c>
      <c r="BT76" s="17">
        <v>0</v>
      </c>
      <c r="BU76" s="17">
        <v>0</v>
      </c>
      <c r="BV76" s="17">
        <v>0</v>
      </c>
      <c r="BW76" s="17">
        <v>0</v>
      </c>
      <c r="BX76" s="17">
        <v>0</v>
      </c>
      <c r="BY76" s="17">
        <v>0</v>
      </c>
      <c r="BZ76" s="17">
        <v>0</v>
      </c>
      <c r="CA76" s="17">
        <v>0</v>
      </c>
      <c r="CB76" s="17">
        <v>0</v>
      </c>
      <c r="CC76" s="17">
        <v>0</v>
      </c>
      <c r="CD76" s="17">
        <v>0</v>
      </c>
      <c r="CE76" s="17">
        <v>0</v>
      </c>
      <c r="CF76" s="17">
        <v>0</v>
      </c>
      <c r="CG76" s="17">
        <v>0</v>
      </c>
      <c r="CH76" s="17">
        <v>0</v>
      </c>
      <c r="CI76" s="17">
        <v>0</v>
      </c>
      <c r="CJ76" s="17">
        <v>0</v>
      </c>
      <c r="CK76" s="18">
        <v>0</v>
      </c>
    </row>
    <row r="77" spans="1:89">
      <c r="A77" s="5" t="s">
        <v>40</v>
      </c>
      <c r="B77" s="44" t="s">
        <v>74</v>
      </c>
      <c r="C77" s="6" t="s">
        <v>77</v>
      </c>
      <c r="D77" s="5">
        <v>62</v>
      </c>
      <c r="E77" s="31">
        <v>9.5081397297534204E-2</v>
      </c>
      <c r="F77" s="38">
        <f t="shared" si="2"/>
        <v>0</v>
      </c>
      <c r="J77" s="44">
        <v>62</v>
      </c>
      <c r="K77" s="54">
        <v>0</v>
      </c>
      <c r="L77" s="17">
        <f t="shared" si="0"/>
        <v>0</v>
      </c>
      <c r="M77" s="52">
        <f t="shared" si="3"/>
        <v>0</v>
      </c>
      <c r="N77" s="18">
        <f t="shared" si="1"/>
        <v>0</v>
      </c>
      <c r="R77" s="60">
        <v>3.28129876074372E-2</v>
      </c>
      <c r="S77" s="16">
        <v>14</v>
      </c>
      <c r="T77" s="17">
        <v>13</v>
      </c>
      <c r="U77" s="18">
        <v>0.5</v>
      </c>
      <c r="W77" s="16">
        <v>0</v>
      </c>
      <c r="X77" s="17">
        <v>0</v>
      </c>
      <c r="Y77" s="17">
        <v>0</v>
      </c>
      <c r="Z77" s="17">
        <v>0</v>
      </c>
      <c r="AA77" s="17">
        <v>0</v>
      </c>
      <c r="AB77" s="17">
        <v>0</v>
      </c>
      <c r="AC77" s="17">
        <v>0</v>
      </c>
      <c r="AD77" s="17">
        <v>1</v>
      </c>
      <c r="AE77" s="17">
        <v>0</v>
      </c>
      <c r="AF77" s="17">
        <v>0</v>
      </c>
      <c r="AG77" s="18">
        <v>0</v>
      </c>
      <c r="AI77" s="16">
        <v>0</v>
      </c>
      <c r="AJ77" s="17">
        <v>0</v>
      </c>
      <c r="AK77" s="17">
        <v>0</v>
      </c>
      <c r="AL77" s="17">
        <v>0</v>
      </c>
      <c r="AM77" s="17">
        <v>0</v>
      </c>
      <c r="AN77" s="17">
        <v>0</v>
      </c>
      <c r="AO77" s="17">
        <v>0</v>
      </c>
      <c r="AP77" s="17">
        <v>1</v>
      </c>
      <c r="AQ77" s="17">
        <v>0</v>
      </c>
      <c r="AR77" s="17">
        <v>0</v>
      </c>
      <c r="AS77" s="17">
        <v>0</v>
      </c>
      <c r="AT77" s="17">
        <v>0</v>
      </c>
      <c r="AU77" s="17">
        <v>0</v>
      </c>
      <c r="AV77" s="17">
        <v>0</v>
      </c>
      <c r="AW77" s="17">
        <v>0</v>
      </c>
      <c r="AX77" s="17">
        <v>0</v>
      </c>
      <c r="AY77" s="17">
        <v>0</v>
      </c>
      <c r="AZ77" s="17">
        <v>0</v>
      </c>
      <c r="BA77" s="17">
        <v>0</v>
      </c>
      <c r="BB77" s="17">
        <v>0</v>
      </c>
      <c r="BC77" s="17">
        <v>0</v>
      </c>
      <c r="BD77" s="17">
        <v>0</v>
      </c>
      <c r="BE77" s="17">
        <v>0</v>
      </c>
      <c r="BF77" s="17">
        <v>0</v>
      </c>
      <c r="BG77" s="17">
        <v>0</v>
      </c>
      <c r="BH77" s="17">
        <v>0</v>
      </c>
      <c r="BI77" s="17">
        <v>0</v>
      </c>
      <c r="BJ77" s="17">
        <v>0</v>
      </c>
      <c r="BK77" s="17">
        <v>0</v>
      </c>
      <c r="BL77" s="17">
        <v>0</v>
      </c>
      <c r="BM77" s="17">
        <v>0</v>
      </c>
      <c r="BN77" s="17">
        <v>0</v>
      </c>
      <c r="BO77" s="17">
        <v>0</v>
      </c>
      <c r="BP77" s="17">
        <v>0</v>
      </c>
      <c r="BQ77" s="17">
        <v>0</v>
      </c>
      <c r="BR77" s="17">
        <v>0</v>
      </c>
      <c r="BS77" s="17">
        <v>0</v>
      </c>
      <c r="BT77" s="17">
        <v>0</v>
      </c>
      <c r="BU77" s="17">
        <v>0</v>
      </c>
      <c r="BV77" s="17">
        <v>0</v>
      </c>
      <c r="BW77" s="17">
        <v>0</v>
      </c>
      <c r="BX77" s="17">
        <v>0</v>
      </c>
      <c r="BY77" s="17">
        <v>0</v>
      </c>
      <c r="BZ77" s="17">
        <v>0</v>
      </c>
      <c r="CA77" s="17">
        <v>0</v>
      </c>
      <c r="CB77" s="17">
        <v>0</v>
      </c>
      <c r="CC77" s="17">
        <v>0</v>
      </c>
      <c r="CD77" s="17">
        <v>0</v>
      </c>
      <c r="CE77" s="17">
        <v>0</v>
      </c>
      <c r="CF77" s="17">
        <v>0</v>
      </c>
      <c r="CG77" s="17">
        <v>0</v>
      </c>
      <c r="CH77" s="17">
        <v>0</v>
      </c>
      <c r="CI77" s="17">
        <v>0</v>
      </c>
      <c r="CJ77" s="17">
        <v>0</v>
      </c>
      <c r="CK77" s="18">
        <v>0</v>
      </c>
    </row>
    <row r="78" spans="1:89">
      <c r="A78" s="5" t="s">
        <v>40</v>
      </c>
      <c r="B78" s="44" t="s">
        <v>74</v>
      </c>
      <c r="C78" s="6" t="s">
        <v>78</v>
      </c>
      <c r="D78" s="5">
        <v>63</v>
      </c>
      <c r="E78" s="31">
        <v>8.9871224496402127E-2</v>
      </c>
      <c r="F78" s="38">
        <f t="shared" si="2"/>
        <v>0</v>
      </c>
      <c r="J78" s="44">
        <v>63</v>
      </c>
      <c r="K78" s="54">
        <v>0</v>
      </c>
      <c r="L78" s="17">
        <f t="shared" si="0"/>
        <v>0</v>
      </c>
      <c r="M78" s="52">
        <f t="shared" si="3"/>
        <v>0</v>
      </c>
      <c r="N78" s="18">
        <f t="shared" si="1"/>
        <v>0</v>
      </c>
      <c r="R78" s="60">
        <v>2.8141399516018399E-2</v>
      </c>
      <c r="S78" s="16">
        <v>15</v>
      </c>
      <c r="T78" s="17">
        <v>19</v>
      </c>
      <c r="U78" s="18">
        <v>0.2</v>
      </c>
      <c r="W78" s="16">
        <v>0</v>
      </c>
      <c r="X78" s="17">
        <v>0</v>
      </c>
      <c r="Y78" s="17">
        <v>0</v>
      </c>
      <c r="Z78" s="17">
        <v>0</v>
      </c>
      <c r="AA78" s="17">
        <v>0</v>
      </c>
      <c r="AB78" s="17">
        <v>0</v>
      </c>
      <c r="AC78" s="17">
        <v>0</v>
      </c>
      <c r="AD78" s="17">
        <v>1</v>
      </c>
      <c r="AE78" s="17">
        <v>0</v>
      </c>
      <c r="AF78" s="17">
        <v>0</v>
      </c>
      <c r="AG78" s="18">
        <v>0</v>
      </c>
      <c r="AI78" s="16">
        <v>0</v>
      </c>
      <c r="AJ78" s="17">
        <v>0</v>
      </c>
      <c r="AK78" s="17">
        <v>0</v>
      </c>
      <c r="AL78" s="17">
        <v>0</v>
      </c>
      <c r="AM78" s="17">
        <v>0</v>
      </c>
      <c r="AN78" s="17">
        <v>0</v>
      </c>
      <c r="AO78" s="17">
        <v>0</v>
      </c>
      <c r="AP78" s="17">
        <v>1</v>
      </c>
      <c r="AQ78" s="17">
        <v>0</v>
      </c>
      <c r="AR78" s="17">
        <v>0</v>
      </c>
      <c r="AS78" s="17">
        <v>0</v>
      </c>
      <c r="AT78" s="17">
        <v>0</v>
      </c>
      <c r="AU78" s="17">
        <v>0</v>
      </c>
      <c r="AV78" s="17">
        <v>0</v>
      </c>
      <c r="AW78" s="17">
        <v>0</v>
      </c>
      <c r="AX78" s="17">
        <v>0</v>
      </c>
      <c r="AY78" s="17">
        <v>0</v>
      </c>
      <c r="AZ78" s="17">
        <v>0</v>
      </c>
      <c r="BA78" s="17">
        <v>0</v>
      </c>
      <c r="BB78" s="17">
        <v>0</v>
      </c>
      <c r="BC78" s="17">
        <v>0</v>
      </c>
      <c r="BD78" s="17">
        <v>0</v>
      </c>
      <c r="BE78" s="17">
        <v>0</v>
      </c>
      <c r="BF78" s="17">
        <v>0</v>
      </c>
      <c r="BG78" s="17">
        <v>0</v>
      </c>
      <c r="BH78" s="17">
        <v>0</v>
      </c>
      <c r="BI78" s="17">
        <v>0</v>
      </c>
      <c r="BJ78" s="17">
        <v>0</v>
      </c>
      <c r="BK78" s="17">
        <v>0</v>
      </c>
      <c r="BL78" s="17">
        <v>0</v>
      </c>
      <c r="BM78" s="17">
        <v>0</v>
      </c>
      <c r="BN78" s="17">
        <v>0</v>
      </c>
      <c r="BO78" s="17">
        <v>0</v>
      </c>
      <c r="BP78" s="17">
        <v>0</v>
      </c>
      <c r="BQ78" s="17">
        <v>0</v>
      </c>
      <c r="BR78" s="17">
        <v>0</v>
      </c>
      <c r="BS78" s="17">
        <v>0</v>
      </c>
      <c r="BT78" s="17">
        <v>0</v>
      </c>
      <c r="BU78" s="17">
        <v>0</v>
      </c>
      <c r="BV78" s="17">
        <v>0</v>
      </c>
      <c r="BW78" s="17">
        <v>0</v>
      </c>
      <c r="BX78" s="17">
        <v>0</v>
      </c>
      <c r="BY78" s="17">
        <v>0</v>
      </c>
      <c r="BZ78" s="17">
        <v>0</v>
      </c>
      <c r="CA78" s="17">
        <v>0</v>
      </c>
      <c r="CB78" s="17">
        <v>0</v>
      </c>
      <c r="CC78" s="17">
        <v>0</v>
      </c>
      <c r="CD78" s="17">
        <v>0</v>
      </c>
      <c r="CE78" s="17">
        <v>0</v>
      </c>
      <c r="CF78" s="17">
        <v>0</v>
      </c>
      <c r="CG78" s="17">
        <v>0</v>
      </c>
      <c r="CH78" s="17">
        <v>0</v>
      </c>
      <c r="CI78" s="17">
        <v>0</v>
      </c>
      <c r="CJ78" s="17">
        <v>0</v>
      </c>
      <c r="CK78" s="18">
        <v>0</v>
      </c>
    </row>
    <row r="79" spans="1:89">
      <c r="A79" s="5" t="s">
        <v>7</v>
      </c>
      <c r="B79" s="44" t="s">
        <v>79</v>
      </c>
      <c r="C79" s="6" t="s">
        <v>80</v>
      </c>
      <c r="D79" s="5">
        <v>64</v>
      </c>
      <c r="E79" s="31">
        <v>0.15645167335261576</v>
      </c>
      <c r="F79" s="38">
        <f t="shared" si="2"/>
        <v>967.75100289236423</v>
      </c>
      <c r="J79" s="44">
        <v>64</v>
      </c>
      <c r="K79" s="54">
        <v>0</v>
      </c>
      <c r="L79" s="17">
        <f t="shared" si="0"/>
        <v>0</v>
      </c>
      <c r="M79" s="52">
        <f t="shared" si="3"/>
        <v>0</v>
      </c>
      <c r="N79" s="18">
        <f t="shared" si="1"/>
        <v>0</v>
      </c>
      <c r="R79" s="60">
        <v>3.9408714450069098E-2</v>
      </c>
      <c r="S79" s="16">
        <v>15</v>
      </c>
      <c r="T79" s="17">
        <v>20</v>
      </c>
      <c r="U79" s="18">
        <v>0.2</v>
      </c>
      <c r="W79" s="16">
        <v>0</v>
      </c>
      <c r="X79" s="17">
        <v>0</v>
      </c>
      <c r="Y79" s="17">
        <v>0</v>
      </c>
      <c r="Z79" s="17">
        <v>0</v>
      </c>
      <c r="AA79" s="17">
        <v>0</v>
      </c>
      <c r="AB79" s="17">
        <v>0</v>
      </c>
      <c r="AC79" s="17">
        <v>0</v>
      </c>
      <c r="AD79" s="17">
        <v>0</v>
      </c>
      <c r="AE79" s="17">
        <v>1</v>
      </c>
      <c r="AF79" s="17">
        <v>0</v>
      </c>
      <c r="AG79" s="18">
        <v>0</v>
      </c>
      <c r="AI79" s="16">
        <v>0</v>
      </c>
      <c r="AJ79" s="17">
        <v>0</v>
      </c>
      <c r="AK79" s="17">
        <v>0</v>
      </c>
      <c r="AL79" s="17">
        <v>0</v>
      </c>
      <c r="AM79" s="17">
        <v>0</v>
      </c>
      <c r="AN79" s="17">
        <v>0</v>
      </c>
      <c r="AO79" s="17">
        <v>0</v>
      </c>
      <c r="AP79" s="17">
        <v>0</v>
      </c>
      <c r="AQ79" s="17">
        <v>1</v>
      </c>
      <c r="AR79" s="17">
        <v>0</v>
      </c>
      <c r="AS79" s="17">
        <v>0</v>
      </c>
      <c r="AT79" s="17">
        <v>0</v>
      </c>
      <c r="AU79" s="17">
        <v>0</v>
      </c>
      <c r="AV79" s="17">
        <v>0</v>
      </c>
      <c r="AW79" s="17">
        <v>0</v>
      </c>
      <c r="AX79" s="17">
        <v>0</v>
      </c>
      <c r="AY79" s="17">
        <v>0</v>
      </c>
      <c r="AZ79" s="17">
        <v>0</v>
      </c>
      <c r="BA79" s="17">
        <v>0</v>
      </c>
      <c r="BB79" s="17">
        <v>0</v>
      </c>
      <c r="BC79" s="17">
        <v>0</v>
      </c>
      <c r="BD79" s="17">
        <v>0</v>
      </c>
      <c r="BE79" s="17">
        <v>0</v>
      </c>
      <c r="BF79" s="17">
        <v>0</v>
      </c>
      <c r="BG79" s="17">
        <v>0</v>
      </c>
      <c r="BH79" s="17">
        <v>0</v>
      </c>
      <c r="BI79" s="17">
        <v>0</v>
      </c>
      <c r="BJ79" s="17">
        <v>0</v>
      </c>
      <c r="BK79" s="17">
        <v>0</v>
      </c>
      <c r="BL79" s="17">
        <v>0</v>
      </c>
      <c r="BM79" s="17">
        <v>0</v>
      </c>
      <c r="BN79" s="17">
        <v>0</v>
      </c>
      <c r="BO79" s="17">
        <v>0</v>
      </c>
      <c r="BP79" s="17">
        <v>0</v>
      </c>
      <c r="BQ79" s="17">
        <v>0</v>
      </c>
      <c r="BR79" s="17">
        <v>0</v>
      </c>
      <c r="BS79" s="17">
        <v>0</v>
      </c>
      <c r="BT79" s="17">
        <v>0</v>
      </c>
      <c r="BU79" s="17">
        <v>0</v>
      </c>
      <c r="BV79" s="17">
        <v>0</v>
      </c>
      <c r="BW79" s="17">
        <v>0</v>
      </c>
      <c r="BX79" s="17">
        <v>0</v>
      </c>
      <c r="BY79" s="17">
        <v>0</v>
      </c>
      <c r="BZ79" s="17">
        <v>0</v>
      </c>
      <c r="CA79" s="17">
        <v>0</v>
      </c>
      <c r="CB79" s="17">
        <v>0</v>
      </c>
      <c r="CC79" s="17">
        <v>0</v>
      </c>
      <c r="CD79" s="17">
        <v>0</v>
      </c>
      <c r="CE79" s="17">
        <v>0</v>
      </c>
      <c r="CF79" s="17">
        <v>0</v>
      </c>
      <c r="CG79" s="17">
        <v>0</v>
      </c>
      <c r="CH79" s="17">
        <v>0</v>
      </c>
      <c r="CI79" s="17">
        <v>0</v>
      </c>
      <c r="CJ79" s="17">
        <v>0</v>
      </c>
      <c r="CK79" s="18">
        <v>0</v>
      </c>
    </row>
    <row r="80" spans="1:89">
      <c r="A80" s="5" t="s">
        <v>7</v>
      </c>
      <c r="B80" s="44" t="s">
        <v>79</v>
      </c>
      <c r="C80" s="6" t="s">
        <v>90</v>
      </c>
      <c r="D80" s="5">
        <v>65</v>
      </c>
      <c r="E80" s="31">
        <v>0.11054934527612668</v>
      </c>
      <c r="F80" s="38">
        <f t="shared" si="2"/>
        <v>0</v>
      </c>
      <c r="J80" s="44">
        <v>65</v>
      </c>
      <c r="K80" s="54">
        <v>0</v>
      </c>
      <c r="L80" s="17">
        <f t="shared" si="0"/>
        <v>0</v>
      </c>
      <c r="M80" s="52">
        <f t="shared" si="3"/>
        <v>0</v>
      </c>
      <c r="N80" s="18">
        <f t="shared" si="1"/>
        <v>0</v>
      </c>
      <c r="R80" s="60">
        <v>0</v>
      </c>
      <c r="S80" s="16">
        <v>15</v>
      </c>
      <c r="T80" s="17">
        <v>23</v>
      </c>
      <c r="U80" s="18">
        <v>0.2</v>
      </c>
      <c r="W80" s="16">
        <v>0</v>
      </c>
      <c r="X80" s="17">
        <v>0</v>
      </c>
      <c r="Y80" s="17">
        <v>0</v>
      </c>
      <c r="Z80" s="17">
        <v>0</v>
      </c>
      <c r="AA80" s="17">
        <v>0</v>
      </c>
      <c r="AB80" s="17">
        <v>0</v>
      </c>
      <c r="AC80" s="17">
        <v>0</v>
      </c>
      <c r="AD80" s="17">
        <v>0</v>
      </c>
      <c r="AE80" s="17">
        <v>1</v>
      </c>
      <c r="AF80" s="17">
        <v>0</v>
      </c>
      <c r="AG80" s="18">
        <v>0</v>
      </c>
      <c r="AI80" s="16">
        <v>0</v>
      </c>
      <c r="AJ80" s="17">
        <v>0</v>
      </c>
      <c r="AK80" s="17">
        <v>0</v>
      </c>
      <c r="AL80" s="17">
        <v>0</v>
      </c>
      <c r="AM80" s="17">
        <v>0</v>
      </c>
      <c r="AN80" s="17">
        <v>0</v>
      </c>
      <c r="AO80" s="17">
        <v>0</v>
      </c>
      <c r="AP80" s="17">
        <v>0</v>
      </c>
      <c r="AQ80" s="17">
        <v>1</v>
      </c>
      <c r="AR80" s="17">
        <v>0</v>
      </c>
      <c r="AS80" s="17">
        <v>0</v>
      </c>
      <c r="AT80" s="17">
        <v>0</v>
      </c>
      <c r="AU80" s="17">
        <v>0</v>
      </c>
      <c r="AV80" s="17">
        <v>0</v>
      </c>
      <c r="AW80" s="17">
        <v>0</v>
      </c>
      <c r="AX80" s="17">
        <v>0</v>
      </c>
      <c r="AY80" s="17">
        <v>0</v>
      </c>
      <c r="AZ80" s="17">
        <v>0</v>
      </c>
      <c r="BA80" s="17">
        <v>0</v>
      </c>
      <c r="BB80" s="17">
        <v>0</v>
      </c>
      <c r="BC80" s="17">
        <v>0</v>
      </c>
      <c r="BD80" s="17">
        <v>0</v>
      </c>
      <c r="BE80" s="17">
        <v>0</v>
      </c>
      <c r="BF80" s="17">
        <v>0</v>
      </c>
      <c r="BG80" s="17">
        <v>0</v>
      </c>
      <c r="BH80" s="17">
        <v>0</v>
      </c>
      <c r="BI80" s="17">
        <v>0</v>
      </c>
      <c r="BJ80" s="17">
        <v>0</v>
      </c>
      <c r="BK80" s="17">
        <v>0</v>
      </c>
      <c r="BL80" s="17">
        <v>0</v>
      </c>
      <c r="BM80" s="17">
        <v>0</v>
      </c>
      <c r="BN80" s="17">
        <v>0</v>
      </c>
      <c r="BO80" s="17">
        <v>0</v>
      </c>
      <c r="BP80" s="17">
        <v>0</v>
      </c>
      <c r="BQ80" s="17">
        <v>0</v>
      </c>
      <c r="BR80" s="17">
        <v>0</v>
      </c>
      <c r="BS80" s="17">
        <v>0</v>
      </c>
      <c r="BT80" s="17">
        <v>0</v>
      </c>
      <c r="BU80" s="17">
        <v>0</v>
      </c>
      <c r="BV80" s="17">
        <v>0</v>
      </c>
      <c r="BW80" s="17">
        <v>0</v>
      </c>
      <c r="BX80" s="17">
        <v>0</v>
      </c>
      <c r="BY80" s="17">
        <v>0</v>
      </c>
      <c r="BZ80" s="17">
        <v>0</v>
      </c>
      <c r="CA80" s="17">
        <v>0</v>
      </c>
      <c r="CB80" s="17">
        <v>0</v>
      </c>
      <c r="CC80" s="17">
        <v>0</v>
      </c>
      <c r="CD80" s="17">
        <v>0</v>
      </c>
      <c r="CE80" s="17">
        <v>0</v>
      </c>
      <c r="CF80" s="17">
        <v>0</v>
      </c>
      <c r="CG80" s="17">
        <v>0</v>
      </c>
      <c r="CH80" s="17">
        <v>0</v>
      </c>
      <c r="CI80" s="17">
        <v>0</v>
      </c>
      <c r="CJ80" s="17">
        <v>0</v>
      </c>
      <c r="CK80" s="18">
        <v>0</v>
      </c>
    </row>
    <row r="81" spans="1:89">
      <c r="A81" s="5" t="s">
        <v>7</v>
      </c>
      <c r="B81" s="44" t="s">
        <v>79</v>
      </c>
      <c r="C81" s="6" t="s">
        <v>94</v>
      </c>
      <c r="D81" s="5">
        <v>66</v>
      </c>
      <c r="E81" s="31">
        <v>0.15112214649310268</v>
      </c>
      <c r="F81" s="38">
        <f t="shared" si="2"/>
        <v>168.32197396540323</v>
      </c>
      <c r="J81" s="44">
        <v>66</v>
      </c>
      <c r="K81" s="54">
        <v>0</v>
      </c>
      <c r="L81" s="17">
        <f t="shared" ref="L81:L123" si="4">K81^2</f>
        <v>0</v>
      </c>
      <c r="M81" s="52">
        <f t="shared" si="3"/>
        <v>0</v>
      </c>
      <c r="N81" s="18">
        <f t="shared" ref="N81:N123" si="5">M81^2</f>
        <v>0</v>
      </c>
      <c r="R81" s="60">
        <v>3.6739188475174898E-2</v>
      </c>
      <c r="S81" s="16">
        <v>15</v>
      </c>
      <c r="T81" s="17">
        <v>24</v>
      </c>
      <c r="U81" s="18">
        <v>0.2</v>
      </c>
      <c r="W81" s="16">
        <v>0</v>
      </c>
      <c r="X81" s="17">
        <v>0</v>
      </c>
      <c r="Y81" s="17">
        <v>0</v>
      </c>
      <c r="Z81" s="17">
        <v>0</v>
      </c>
      <c r="AA81" s="17">
        <v>0</v>
      </c>
      <c r="AB81" s="17">
        <v>0</v>
      </c>
      <c r="AC81" s="17">
        <v>0</v>
      </c>
      <c r="AD81" s="17">
        <v>0</v>
      </c>
      <c r="AE81" s="17">
        <v>1</v>
      </c>
      <c r="AF81" s="17">
        <v>0</v>
      </c>
      <c r="AG81" s="18">
        <v>0</v>
      </c>
      <c r="AI81" s="16">
        <v>0</v>
      </c>
      <c r="AJ81" s="17">
        <v>0</v>
      </c>
      <c r="AK81" s="17">
        <v>0</v>
      </c>
      <c r="AL81" s="17">
        <v>0</v>
      </c>
      <c r="AM81" s="17">
        <v>0</v>
      </c>
      <c r="AN81" s="17">
        <v>0</v>
      </c>
      <c r="AO81" s="17">
        <v>0</v>
      </c>
      <c r="AP81" s="17">
        <v>0</v>
      </c>
      <c r="AQ81" s="17">
        <v>1</v>
      </c>
      <c r="AR81" s="17">
        <v>0</v>
      </c>
      <c r="AS81" s="17">
        <v>0</v>
      </c>
      <c r="AT81" s="17">
        <v>0</v>
      </c>
      <c r="AU81" s="17">
        <v>0</v>
      </c>
      <c r="AV81" s="17">
        <v>0</v>
      </c>
      <c r="AW81" s="17">
        <v>0</v>
      </c>
      <c r="AX81" s="17">
        <v>0</v>
      </c>
      <c r="AY81" s="17">
        <v>0</v>
      </c>
      <c r="AZ81" s="17">
        <v>0</v>
      </c>
      <c r="BA81" s="17">
        <v>0</v>
      </c>
      <c r="BB81" s="17">
        <v>0</v>
      </c>
      <c r="BC81" s="17">
        <v>0</v>
      </c>
      <c r="BD81" s="17">
        <v>0</v>
      </c>
      <c r="BE81" s="17">
        <v>0</v>
      </c>
      <c r="BF81" s="17">
        <v>0</v>
      </c>
      <c r="BG81" s="17">
        <v>0</v>
      </c>
      <c r="BH81" s="17">
        <v>0</v>
      </c>
      <c r="BI81" s="17">
        <v>0</v>
      </c>
      <c r="BJ81" s="17">
        <v>0</v>
      </c>
      <c r="BK81" s="17">
        <v>0</v>
      </c>
      <c r="BL81" s="17">
        <v>0</v>
      </c>
      <c r="BM81" s="17">
        <v>0</v>
      </c>
      <c r="BN81" s="17">
        <v>0</v>
      </c>
      <c r="BO81" s="17">
        <v>0</v>
      </c>
      <c r="BP81" s="17">
        <v>0</v>
      </c>
      <c r="BQ81" s="17">
        <v>0</v>
      </c>
      <c r="BR81" s="17">
        <v>0</v>
      </c>
      <c r="BS81" s="17">
        <v>0</v>
      </c>
      <c r="BT81" s="17">
        <v>0</v>
      </c>
      <c r="BU81" s="17">
        <v>0</v>
      </c>
      <c r="BV81" s="17">
        <v>0</v>
      </c>
      <c r="BW81" s="17">
        <v>0</v>
      </c>
      <c r="BX81" s="17">
        <v>0</v>
      </c>
      <c r="BY81" s="17">
        <v>0</v>
      </c>
      <c r="BZ81" s="17">
        <v>0</v>
      </c>
      <c r="CA81" s="17">
        <v>0</v>
      </c>
      <c r="CB81" s="17">
        <v>0</v>
      </c>
      <c r="CC81" s="17">
        <v>0</v>
      </c>
      <c r="CD81" s="17">
        <v>0</v>
      </c>
      <c r="CE81" s="17">
        <v>0</v>
      </c>
      <c r="CF81" s="17">
        <v>0</v>
      </c>
      <c r="CG81" s="17">
        <v>0</v>
      </c>
      <c r="CH81" s="17">
        <v>0</v>
      </c>
      <c r="CI81" s="17">
        <v>0</v>
      </c>
      <c r="CJ81" s="17">
        <v>0</v>
      </c>
      <c r="CK81" s="18">
        <v>0</v>
      </c>
    </row>
    <row r="82" spans="1:89">
      <c r="A82" s="5" t="s">
        <v>7</v>
      </c>
      <c r="B82" s="44" t="s">
        <v>79</v>
      </c>
      <c r="C82" s="6" t="s">
        <v>96</v>
      </c>
      <c r="D82" s="5">
        <v>67</v>
      </c>
      <c r="E82" s="31">
        <v>0.15069529877464383</v>
      </c>
      <c r="F82" s="38">
        <f t="shared" ref="F82:F123" si="6">MAX(0,MIN(E82,1)-$B$8)*$B$9*$B$10</f>
        <v>104.29481619657481</v>
      </c>
      <c r="J82" s="44">
        <v>67</v>
      </c>
      <c r="K82" s="54">
        <v>0</v>
      </c>
      <c r="L82" s="17">
        <f t="shared" si="4"/>
        <v>0</v>
      </c>
      <c r="M82" s="52">
        <f t="shared" ref="M82:M123" si="7">M81</f>
        <v>0</v>
      </c>
      <c r="N82" s="18">
        <f t="shared" si="5"/>
        <v>0</v>
      </c>
      <c r="R82" s="60">
        <v>3.67674098749853E-2</v>
      </c>
      <c r="S82" s="16">
        <v>15</v>
      </c>
      <c r="T82" s="17">
        <v>71</v>
      </c>
      <c r="U82" s="18">
        <v>0.2</v>
      </c>
      <c r="W82" s="16">
        <v>0</v>
      </c>
      <c r="X82" s="17">
        <v>0</v>
      </c>
      <c r="Y82" s="17">
        <v>0</v>
      </c>
      <c r="Z82" s="17">
        <v>0</v>
      </c>
      <c r="AA82" s="17">
        <v>0</v>
      </c>
      <c r="AB82" s="17">
        <v>0</v>
      </c>
      <c r="AC82" s="17">
        <v>0</v>
      </c>
      <c r="AD82" s="17">
        <v>0</v>
      </c>
      <c r="AE82" s="17">
        <v>1</v>
      </c>
      <c r="AF82" s="17">
        <v>0</v>
      </c>
      <c r="AG82" s="18">
        <v>0</v>
      </c>
      <c r="AI82" s="16">
        <v>0</v>
      </c>
      <c r="AJ82" s="17">
        <v>0</v>
      </c>
      <c r="AK82" s="17">
        <v>0</v>
      </c>
      <c r="AL82" s="17">
        <v>0</v>
      </c>
      <c r="AM82" s="17">
        <v>0</v>
      </c>
      <c r="AN82" s="17">
        <v>0</v>
      </c>
      <c r="AO82" s="17">
        <v>0</v>
      </c>
      <c r="AP82" s="17">
        <v>0</v>
      </c>
      <c r="AQ82" s="17">
        <v>1</v>
      </c>
      <c r="AR82" s="17">
        <v>0</v>
      </c>
      <c r="AS82" s="17">
        <v>0</v>
      </c>
      <c r="AT82" s="17">
        <v>0</v>
      </c>
      <c r="AU82" s="17">
        <v>0</v>
      </c>
      <c r="AV82" s="17">
        <v>0</v>
      </c>
      <c r="AW82" s="17">
        <v>0</v>
      </c>
      <c r="AX82" s="17">
        <v>0</v>
      </c>
      <c r="AY82" s="17">
        <v>0</v>
      </c>
      <c r="AZ82" s="17">
        <v>0</v>
      </c>
      <c r="BA82" s="17">
        <v>0</v>
      </c>
      <c r="BB82" s="17">
        <v>0</v>
      </c>
      <c r="BC82" s="17">
        <v>0</v>
      </c>
      <c r="BD82" s="17">
        <v>0</v>
      </c>
      <c r="BE82" s="17">
        <v>0</v>
      </c>
      <c r="BF82" s="17">
        <v>0</v>
      </c>
      <c r="BG82" s="17">
        <v>0</v>
      </c>
      <c r="BH82" s="17">
        <v>0</v>
      </c>
      <c r="BI82" s="17">
        <v>0</v>
      </c>
      <c r="BJ82" s="17">
        <v>0</v>
      </c>
      <c r="BK82" s="17">
        <v>0</v>
      </c>
      <c r="BL82" s="17">
        <v>0</v>
      </c>
      <c r="BM82" s="17">
        <v>0</v>
      </c>
      <c r="BN82" s="17">
        <v>0</v>
      </c>
      <c r="BO82" s="17">
        <v>0</v>
      </c>
      <c r="BP82" s="17">
        <v>0</v>
      </c>
      <c r="BQ82" s="17">
        <v>0</v>
      </c>
      <c r="BR82" s="17">
        <v>0</v>
      </c>
      <c r="BS82" s="17">
        <v>0</v>
      </c>
      <c r="BT82" s="17">
        <v>0</v>
      </c>
      <c r="BU82" s="17">
        <v>0</v>
      </c>
      <c r="BV82" s="17">
        <v>0</v>
      </c>
      <c r="BW82" s="17">
        <v>0</v>
      </c>
      <c r="BX82" s="17">
        <v>0</v>
      </c>
      <c r="BY82" s="17">
        <v>0</v>
      </c>
      <c r="BZ82" s="17">
        <v>0</v>
      </c>
      <c r="CA82" s="17">
        <v>0</v>
      </c>
      <c r="CB82" s="17">
        <v>0</v>
      </c>
      <c r="CC82" s="17">
        <v>0</v>
      </c>
      <c r="CD82" s="17">
        <v>0</v>
      </c>
      <c r="CE82" s="17">
        <v>0</v>
      </c>
      <c r="CF82" s="17">
        <v>0</v>
      </c>
      <c r="CG82" s="17">
        <v>0</v>
      </c>
      <c r="CH82" s="17">
        <v>0</v>
      </c>
      <c r="CI82" s="17">
        <v>0</v>
      </c>
      <c r="CJ82" s="17">
        <v>0</v>
      </c>
      <c r="CK82" s="18">
        <v>0</v>
      </c>
    </row>
    <row r="83" spans="1:89">
      <c r="A83" s="5" t="s">
        <v>7</v>
      </c>
      <c r="B83" s="44" t="s">
        <v>79</v>
      </c>
      <c r="C83" s="6" t="s">
        <v>97</v>
      </c>
      <c r="D83" s="5">
        <v>68</v>
      </c>
      <c r="E83" s="31">
        <v>0.11377717393201085</v>
      </c>
      <c r="F83" s="38">
        <f t="shared" si="6"/>
        <v>0</v>
      </c>
      <c r="J83" s="44">
        <v>68</v>
      </c>
      <c r="K83" s="54">
        <v>0</v>
      </c>
      <c r="L83" s="17">
        <f t="shared" si="4"/>
        <v>0</v>
      </c>
      <c r="M83" s="52">
        <f t="shared" si="7"/>
        <v>0</v>
      </c>
      <c r="N83" s="18">
        <f t="shared" si="5"/>
        <v>0</v>
      </c>
      <c r="R83" s="60">
        <v>0</v>
      </c>
      <c r="S83" s="16">
        <v>16</v>
      </c>
      <c r="T83" s="17">
        <v>23</v>
      </c>
      <c r="U83" s="18">
        <v>0.25</v>
      </c>
      <c r="W83" s="16">
        <v>0</v>
      </c>
      <c r="X83" s="17">
        <v>0</v>
      </c>
      <c r="Y83" s="17">
        <v>0</v>
      </c>
      <c r="Z83" s="17">
        <v>0</v>
      </c>
      <c r="AA83" s="17">
        <v>0</v>
      </c>
      <c r="AB83" s="17">
        <v>0</v>
      </c>
      <c r="AC83" s="17">
        <v>0</v>
      </c>
      <c r="AD83" s="17">
        <v>0</v>
      </c>
      <c r="AE83" s="17">
        <v>1</v>
      </c>
      <c r="AF83" s="17">
        <v>0</v>
      </c>
      <c r="AG83" s="18">
        <v>0</v>
      </c>
      <c r="AI83" s="16">
        <v>0</v>
      </c>
      <c r="AJ83" s="17">
        <v>0</v>
      </c>
      <c r="AK83" s="17">
        <v>0</v>
      </c>
      <c r="AL83" s="17">
        <v>0</v>
      </c>
      <c r="AM83" s="17">
        <v>0</v>
      </c>
      <c r="AN83" s="17">
        <v>0</v>
      </c>
      <c r="AO83" s="17">
        <v>0</v>
      </c>
      <c r="AP83" s="17">
        <v>0</v>
      </c>
      <c r="AQ83" s="17">
        <v>1</v>
      </c>
      <c r="AR83" s="17">
        <v>0</v>
      </c>
      <c r="AS83" s="17">
        <v>0</v>
      </c>
      <c r="AT83" s="17">
        <v>0</v>
      </c>
      <c r="AU83" s="17">
        <v>0</v>
      </c>
      <c r="AV83" s="17">
        <v>0</v>
      </c>
      <c r="AW83" s="17">
        <v>0</v>
      </c>
      <c r="AX83" s="17">
        <v>0</v>
      </c>
      <c r="AY83" s="17">
        <v>0</v>
      </c>
      <c r="AZ83" s="17">
        <v>0</v>
      </c>
      <c r="BA83" s="17">
        <v>0</v>
      </c>
      <c r="BB83" s="17">
        <v>0</v>
      </c>
      <c r="BC83" s="17">
        <v>0</v>
      </c>
      <c r="BD83" s="17">
        <v>0</v>
      </c>
      <c r="BE83" s="17">
        <v>0</v>
      </c>
      <c r="BF83" s="17">
        <v>0</v>
      </c>
      <c r="BG83" s="17">
        <v>0</v>
      </c>
      <c r="BH83" s="17">
        <v>0</v>
      </c>
      <c r="BI83" s="17">
        <v>0</v>
      </c>
      <c r="BJ83" s="17">
        <v>0</v>
      </c>
      <c r="BK83" s="17">
        <v>0</v>
      </c>
      <c r="BL83" s="17">
        <v>0</v>
      </c>
      <c r="BM83" s="17">
        <v>0</v>
      </c>
      <c r="BN83" s="17">
        <v>0</v>
      </c>
      <c r="BO83" s="17">
        <v>0</v>
      </c>
      <c r="BP83" s="17">
        <v>0</v>
      </c>
      <c r="BQ83" s="17">
        <v>0</v>
      </c>
      <c r="BR83" s="17">
        <v>0</v>
      </c>
      <c r="BS83" s="17">
        <v>0</v>
      </c>
      <c r="BT83" s="17">
        <v>0</v>
      </c>
      <c r="BU83" s="17">
        <v>0</v>
      </c>
      <c r="BV83" s="17">
        <v>0</v>
      </c>
      <c r="BW83" s="17">
        <v>0</v>
      </c>
      <c r="BX83" s="17">
        <v>0</v>
      </c>
      <c r="BY83" s="17">
        <v>0</v>
      </c>
      <c r="BZ83" s="17">
        <v>0</v>
      </c>
      <c r="CA83" s="17">
        <v>0</v>
      </c>
      <c r="CB83" s="17">
        <v>0</v>
      </c>
      <c r="CC83" s="17">
        <v>0</v>
      </c>
      <c r="CD83" s="17">
        <v>0</v>
      </c>
      <c r="CE83" s="17">
        <v>0</v>
      </c>
      <c r="CF83" s="17">
        <v>0</v>
      </c>
      <c r="CG83" s="17">
        <v>0</v>
      </c>
      <c r="CH83" s="17">
        <v>0</v>
      </c>
      <c r="CI83" s="17">
        <v>0</v>
      </c>
      <c r="CJ83" s="17">
        <v>0</v>
      </c>
      <c r="CK83" s="18">
        <v>0</v>
      </c>
    </row>
    <row r="84" spans="1:89">
      <c r="A84" s="5" t="s">
        <v>7</v>
      </c>
      <c r="B84" s="44" t="s">
        <v>79</v>
      </c>
      <c r="C84" s="6" t="s">
        <v>106</v>
      </c>
      <c r="D84" s="5">
        <v>69</v>
      </c>
      <c r="E84" s="31">
        <v>0.14632665380199639</v>
      </c>
      <c r="F84" s="38">
        <f t="shared" si="6"/>
        <v>0</v>
      </c>
      <c r="J84" s="44">
        <v>69</v>
      </c>
      <c r="K84" s="54">
        <v>0</v>
      </c>
      <c r="L84" s="17">
        <f t="shared" si="4"/>
        <v>0</v>
      </c>
      <c r="M84" s="52">
        <f t="shared" si="7"/>
        <v>0</v>
      </c>
      <c r="N84" s="18">
        <f t="shared" si="5"/>
        <v>0</v>
      </c>
      <c r="R84" s="60">
        <v>2.9290252108014999E-2</v>
      </c>
      <c r="S84" s="16">
        <v>16</v>
      </c>
      <c r="T84" s="17">
        <v>24</v>
      </c>
      <c r="U84" s="18">
        <v>0.25</v>
      </c>
      <c r="W84" s="16">
        <v>0</v>
      </c>
      <c r="X84" s="17">
        <v>0</v>
      </c>
      <c r="Y84" s="17">
        <v>0</v>
      </c>
      <c r="Z84" s="17">
        <v>0</v>
      </c>
      <c r="AA84" s="17">
        <v>0</v>
      </c>
      <c r="AB84" s="17">
        <v>0</v>
      </c>
      <c r="AC84" s="17">
        <v>0</v>
      </c>
      <c r="AD84" s="17">
        <v>0</v>
      </c>
      <c r="AE84" s="17">
        <v>1</v>
      </c>
      <c r="AF84" s="17">
        <v>0</v>
      </c>
      <c r="AG84" s="18">
        <v>0</v>
      </c>
      <c r="AI84" s="16">
        <v>0</v>
      </c>
      <c r="AJ84" s="17">
        <v>0</v>
      </c>
      <c r="AK84" s="17">
        <v>0</v>
      </c>
      <c r="AL84" s="17">
        <v>0</v>
      </c>
      <c r="AM84" s="17">
        <v>0</v>
      </c>
      <c r="AN84" s="17">
        <v>0</v>
      </c>
      <c r="AO84" s="17">
        <v>0</v>
      </c>
      <c r="AP84" s="17">
        <v>0</v>
      </c>
      <c r="AQ84" s="17">
        <v>1</v>
      </c>
      <c r="AR84" s="17">
        <v>0</v>
      </c>
      <c r="AS84" s="17">
        <v>0</v>
      </c>
      <c r="AT84" s="17">
        <v>0</v>
      </c>
      <c r="AU84" s="17">
        <v>0</v>
      </c>
      <c r="AV84" s="17">
        <v>0</v>
      </c>
      <c r="AW84" s="17">
        <v>0</v>
      </c>
      <c r="AX84" s="17">
        <v>0</v>
      </c>
      <c r="AY84" s="17">
        <v>0</v>
      </c>
      <c r="AZ84" s="17">
        <v>0</v>
      </c>
      <c r="BA84" s="17">
        <v>0</v>
      </c>
      <c r="BB84" s="17">
        <v>0</v>
      </c>
      <c r="BC84" s="17">
        <v>0</v>
      </c>
      <c r="BD84" s="17">
        <v>0</v>
      </c>
      <c r="BE84" s="17">
        <v>0</v>
      </c>
      <c r="BF84" s="17">
        <v>0</v>
      </c>
      <c r="BG84" s="17">
        <v>0</v>
      </c>
      <c r="BH84" s="17">
        <v>0</v>
      </c>
      <c r="BI84" s="17">
        <v>0</v>
      </c>
      <c r="BJ84" s="17">
        <v>0</v>
      </c>
      <c r="BK84" s="17">
        <v>0</v>
      </c>
      <c r="BL84" s="17">
        <v>0</v>
      </c>
      <c r="BM84" s="17">
        <v>0</v>
      </c>
      <c r="BN84" s="17">
        <v>0</v>
      </c>
      <c r="BO84" s="17">
        <v>0</v>
      </c>
      <c r="BP84" s="17">
        <v>0</v>
      </c>
      <c r="BQ84" s="17">
        <v>0</v>
      </c>
      <c r="BR84" s="17">
        <v>0</v>
      </c>
      <c r="BS84" s="17">
        <v>0</v>
      </c>
      <c r="BT84" s="17">
        <v>0</v>
      </c>
      <c r="BU84" s="17">
        <v>0</v>
      </c>
      <c r="BV84" s="17">
        <v>0</v>
      </c>
      <c r="BW84" s="17">
        <v>0</v>
      </c>
      <c r="BX84" s="17">
        <v>0</v>
      </c>
      <c r="BY84" s="17">
        <v>0</v>
      </c>
      <c r="BZ84" s="17">
        <v>0</v>
      </c>
      <c r="CA84" s="17">
        <v>0</v>
      </c>
      <c r="CB84" s="17">
        <v>0</v>
      </c>
      <c r="CC84" s="17">
        <v>0</v>
      </c>
      <c r="CD84" s="17">
        <v>0</v>
      </c>
      <c r="CE84" s="17">
        <v>0</v>
      </c>
      <c r="CF84" s="17">
        <v>0</v>
      </c>
      <c r="CG84" s="17">
        <v>0</v>
      </c>
      <c r="CH84" s="17">
        <v>0</v>
      </c>
      <c r="CI84" s="17">
        <v>0</v>
      </c>
      <c r="CJ84" s="17">
        <v>0</v>
      </c>
      <c r="CK84" s="18">
        <v>0</v>
      </c>
    </row>
    <row r="85" spans="1:89">
      <c r="A85" s="5" t="s">
        <v>4</v>
      </c>
      <c r="B85" s="44" t="s">
        <v>5</v>
      </c>
      <c r="C85" s="6" t="s">
        <v>6</v>
      </c>
      <c r="D85" s="5">
        <v>70</v>
      </c>
      <c r="E85" s="31">
        <v>0.1579877193676964</v>
      </c>
      <c r="F85" s="38">
        <f t="shared" si="6"/>
        <v>1198.1579051544609</v>
      </c>
      <c r="J85" s="44">
        <v>70</v>
      </c>
      <c r="K85" s="54">
        <v>0</v>
      </c>
      <c r="L85" s="17">
        <f t="shared" si="4"/>
        <v>0</v>
      </c>
      <c r="M85" s="52">
        <f t="shared" si="7"/>
        <v>0</v>
      </c>
      <c r="N85" s="18">
        <f t="shared" si="5"/>
        <v>0</v>
      </c>
      <c r="R85" s="60">
        <v>1.66480067518073E-2</v>
      </c>
      <c r="S85" s="16">
        <v>16</v>
      </c>
      <c r="T85" s="17">
        <v>31</v>
      </c>
      <c r="U85" s="18">
        <v>0.25</v>
      </c>
      <c r="W85" s="16">
        <v>1</v>
      </c>
      <c r="X85" s="17">
        <v>0</v>
      </c>
      <c r="Y85" s="17">
        <v>0</v>
      </c>
      <c r="Z85" s="17">
        <v>0</v>
      </c>
      <c r="AA85" s="17">
        <v>0</v>
      </c>
      <c r="AB85" s="17">
        <v>0</v>
      </c>
      <c r="AC85" s="17">
        <v>0</v>
      </c>
      <c r="AD85" s="17">
        <v>0</v>
      </c>
      <c r="AE85" s="17">
        <v>0</v>
      </c>
      <c r="AF85" s="17">
        <v>0</v>
      </c>
      <c r="AG85" s="18">
        <v>0</v>
      </c>
      <c r="AI85" s="16">
        <v>1</v>
      </c>
      <c r="AJ85" s="17">
        <v>0</v>
      </c>
      <c r="AK85" s="17">
        <v>0</v>
      </c>
      <c r="AL85" s="17">
        <v>0</v>
      </c>
      <c r="AM85" s="17">
        <v>0</v>
      </c>
      <c r="AN85" s="17">
        <v>0</v>
      </c>
      <c r="AO85" s="17">
        <v>0</v>
      </c>
      <c r="AP85" s="17">
        <v>0</v>
      </c>
      <c r="AQ85" s="17">
        <v>0</v>
      </c>
      <c r="AR85" s="17">
        <v>0</v>
      </c>
      <c r="AS85" s="17">
        <v>0</v>
      </c>
      <c r="AT85" s="17">
        <v>0</v>
      </c>
      <c r="AU85" s="17">
        <v>0</v>
      </c>
      <c r="AV85" s="17">
        <v>0</v>
      </c>
      <c r="AW85" s="17">
        <v>0</v>
      </c>
      <c r="AX85" s="17">
        <v>0</v>
      </c>
      <c r="AY85" s="17">
        <v>0</v>
      </c>
      <c r="AZ85" s="17">
        <v>0</v>
      </c>
      <c r="BA85" s="17">
        <v>0</v>
      </c>
      <c r="BB85" s="17">
        <v>0</v>
      </c>
      <c r="BC85" s="17">
        <v>0</v>
      </c>
      <c r="BD85" s="17">
        <v>0</v>
      </c>
      <c r="BE85" s="17">
        <v>0</v>
      </c>
      <c r="BF85" s="17">
        <v>0</v>
      </c>
      <c r="BG85" s="17">
        <v>0</v>
      </c>
      <c r="BH85" s="17">
        <v>0</v>
      </c>
      <c r="BI85" s="17">
        <v>0</v>
      </c>
      <c r="BJ85" s="17">
        <v>0</v>
      </c>
      <c r="BK85" s="17">
        <v>0</v>
      </c>
      <c r="BL85" s="17">
        <v>0</v>
      </c>
      <c r="BM85" s="17">
        <v>0</v>
      </c>
      <c r="BN85" s="17">
        <v>0</v>
      </c>
      <c r="BO85" s="17">
        <v>0</v>
      </c>
      <c r="BP85" s="17">
        <v>0</v>
      </c>
      <c r="BQ85" s="17">
        <v>0</v>
      </c>
      <c r="BR85" s="17">
        <v>0</v>
      </c>
      <c r="BS85" s="17">
        <v>0</v>
      </c>
      <c r="BT85" s="17">
        <v>0</v>
      </c>
      <c r="BU85" s="17">
        <v>0</v>
      </c>
      <c r="BV85" s="17">
        <v>0</v>
      </c>
      <c r="BW85" s="17">
        <v>0</v>
      </c>
      <c r="BX85" s="17">
        <v>0</v>
      </c>
      <c r="BY85" s="17">
        <v>0</v>
      </c>
      <c r="BZ85" s="17">
        <v>0</v>
      </c>
      <c r="CA85" s="17">
        <v>0</v>
      </c>
      <c r="CB85" s="17">
        <v>0</v>
      </c>
      <c r="CC85" s="17">
        <v>0</v>
      </c>
      <c r="CD85" s="17">
        <v>0</v>
      </c>
      <c r="CE85" s="17">
        <v>0</v>
      </c>
      <c r="CF85" s="17">
        <v>0</v>
      </c>
      <c r="CG85" s="17">
        <v>0</v>
      </c>
      <c r="CH85" s="17">
        <v>0</v>
      </c>
      <c r="CI85" s="17">
        <v>0</v>
      </c>
      <c r="CJ85" s="17">
        <v>0</v>
      </c>
      <c r="CK85" s="18">
        <v>0</v>
      </c>
    </row>
    <row r="86" spans="1:89">
      <c r="A86" s="5" t="s">
        <v>4</v>
      </c>
      <c r="B86" s="44" t="s">
        <v>5</v>
      </c>
      <c r="C86" s="6" t="s">
        <v>81</v>
      </c>
      <c r="D86" s="5">
        <v>71</v>
      </c>
      <c r="E86" s="31">
        <v>0.15643405054092063</v>
      </c>
      <c r="F86" s="38">
        <f t="shared" si="6"/>
        <v>965.10758113809572</v>
      </c>
      <c r="J86" s="44">
        <v>71</v>
      </c>
      <c r="K86" s="54">
        <v>0</v>
      </c>
      <c r="L86" s="17">
        <f t="shared" si="4"/>
        <v>0</v>
      </c>
      <c r="M86" s="52">
        <f t="shared" si="7"/>
        <v>0</v>
      </c>
      <c r="N86" s="18">
        <f t="shared" si="5"/>
        <v>0</v>
      </c>
      <c r="R86" s="60">
        <v>2.01342560837014E-2</v>
      </c>
      <c r="S86" s="16">
        <v>16</v>
      </c>
      <c r="T86" s="17">
        <v>34</v>
      </c>
      <c r="U86" s="18">
        <v>0.25</v>
      </c>
      <c r="W86" s="16">
        <v>1</v>
      </c>
      <c r="X86" s="17">
        <v>0</v>
      </c>
      <c r="Y86" s="17">
        <v>0</v>
      </c>
      <c r="Z86" s="17">
        <v>0</v>
      </c>
      <c r="AA86" s="17">
        <v>0</v>
      </c>
      <c r="AB86" s="17">
        <v>0</v>
      </c>
      <c r="AC86" s="17">
        <v>0</v>
      </c>
      <c r="AD86" s="17">
        <v>0</v>
      </c>
      <c r="AE86" s="17">
        <v>0</v>
      </c>
      <c r="AF86" s="17">
        <v>0</v>
      </c>
      <c r="AG86" s="18">
        <v>0</v>
      </c>
      <c r="AI86" s="16">
        <v>1</v>
      </c>
      <c r="AJ86" s="17">
        <v>0</v>
      </c>
      <c r="AK86" s="17">
        <v>0</v>
      </c>
      <c r="AL86" s="17">
        <v>0</v>
      </c>
      <c r="AM86" s="17">
        <v>0</v>
      </c>
      <c r="AN86" s="17">
        <v>0</v>
      </c>
      <c r="AO86" s="17">
        <v>0</v>
      </c>
      <c r="AP86" s="17">
        <v>0</v>
      </c>
      <c r="AQ86" s="17">
        <v>0</v>
      </c>
      <c r="AR86" s="17">
        <v>0</v>
      </c>
      <c r="AS86" s="17">
        <v>0</v>
      </c>
      <c r="AT86" s="17">
        <v>0</v>
      </c>
      <c r="AU86" s="17">
        <v>0</v>
      </c>
      <c r="AV86" s="17">
        <v>0</v>
      </c>
      <c r="AW86" s="17">
        <v>0</v>
      </c>
      <c r="AX86" s="17">
        <v>0</v>
      </c>
      <c r="AY86" s="17">
        <v>0</v>
      </c>
      <c r="AZ86" s="17">
        <v>0</v>
      </c>
      <c r="BA86" s="17">
        <v>0</v>
      </c>
      <c r="BB86" s="17">
        <v>0</v>
      </c>
      <c r="BC86" s="17">
        <v>0</v>
      </c>
      <c r="BD86" s="17">
        <v>0</v>
      </c>
      <c r="BE86" s="17">
        <v>0</v>
      </c>
      <c r="BF86" s="17">
        <v>0</v>
      </c>
      <c r="BG86" s="17">
        <v>0</v>
      </c>
      <c r="BH86" s="17">
        <v>0</v>
      </c>
      <c r="BI86" s="17">
        <v>0</v>
      </c>
      <c r="BJ86" s="17">
        <v>0</v>
      </c>
      <c r="BK86" s="17">
        <v>0</v>
      </c>
      <c r="BL86" s="17">
        <v>0</v>
      </c>
      <c r="BM86" s="17">
        <v>0</v>
      </c>
      <c r="BN86" s="17">
        <v>0</v>
      </c>
      <c r="BO86" s="17">
        <v>0</v>
      </c>
      <c r="BP86" s="17">
        <v>0</v>
      </c>
      <c r="BQ86" s="17">
        <v>0</v>
      </c>
      <c r="BR86" s="17">
        <v>0</v>
      </c>
      <c r="BS86" s="17">
        <v>0</v>
      </c>
      <c r="BT86" s="17">
        <v>0</v>
      </c>
      <c r="BU86" s="17">
        <v>0</v>
      </c>
      <c r="BV86" s="17">
        <v>0</v>
      </c>
      <c r="BW86" s="17">
        <v>0</v>
      </c>
      <c r="BX86" s="17">
        <v>0</v>
      </c>
      <c r="BY86" s="17">
        <v>0</v>
      </c>
      <c r="BZ86" s="17">
        <v>0</v>
      </c>
      <c r="CA86" s="17">
        <v>0</v>
      </c>
      <c r="CB86" s="17">
        <v>0</v>
      </c>
      <c r="CC86" s="17">
        <v>0</v>
      </c>
      <c r="CD86" s="17">
        <v>0</v>
      </c>
      <c r="CE86" s="17">
        <v>0</v>
      </c>
      <c r="CF86" s="17">
        <v>0</v>
      </c>
      <c r="CG86" s="17">
        <v>0</v>
      </c>
      <c r="CH86" s="17">
        <v>0</v>
      </c>
      <c r="CI86" s="17">
        <v>0</v>
      </c>
      <c r="CJ86" s="17">
        <v>0</v>
      </c>
      <c r="CK86" s="18">
        <v>0</v>
      </c>
    </row>
    <row r="87" spans="1:89">
      <c r="A87" s="5" t="s">
        <v>4</v>
      </c>
      <c r="B87" s="44" t="s">
        <v>5</v>
      </c>
      <c r="C87" s="6" t="s">
        <v>82</v>
      </c>
      <c r="D87" s="5">
        <v>72</v>
      </c>
      <c r="E87" s="31">
        <v>0.15968657630984762</v>
      </c>
      <c r="F87" s="38">
        <f t="shared" si="6"/>
        <v>1452.9864464771433</v>
      </c>
      <c r="J87" s="44">
        <v>72</v>
      </c>
      <c r="K87" s="54">
        <v>0</v>
      </c>
      <c r="L87" s="17">
        <f t="shared" si="4"/>
        <v>0</v>
      </c>
      <c r="M87" s="52">
        <f t="shared" si="7"/>
        <v>0</v>
      </c>
      <c r="N87" s="18">
        <f t="shared" si="5"/>
        <v>0</v>
      </c>
      <c r="R87" s="60">
        <v>2.02198558346635E-2</v>
      </c>
      <c r="S87" s="16">
        <v>17</v>
      </c>
      <c r="T87" s="17">
        <v>18</v>
      </c>
      <c r="U87" s="18">
        <v>0.125</v>
      </c>
      <c r="W87" s="16">
        <v>1</v>
      </c>
      <c r="X87" s="17">
        <v>0</v>
      </c>
      <c r="Y87" s="17">
        <v>0</v>
      </c>
      <c r="Z87" s="17">
        <v>0</v>
      </c>
      <c r="AA87" s="17">
        <v>0</v>
      </c>
      <c r="AB87" s="17">
        <v>0</v>
      </c>
      <c r="AC87" s="17">
        <v>0</v>
      </c>
      <c r="AD87" s="17">
        <v>0</v>
      </c>
      <c r="AE87" s="17">
        <v>0</v>
      </c>
      <c r="AF87" s="17">
        <v>0</v>
      </c>
      <c r="AG87" s="18">
        <v>0</v>
      </c>
      <c r="AI87" s="16">
        <v>1</v>
      </c>
      <c r="AJ87" s="17">
        <v>0</v>
      </c>
      <c r="AK87" s="17">
        <v>0</v>
      </c>
      <c r="AL87" s="17">
        <v>0</v>
      </c>
      <c r="AM87" s="17">
        <v>0</v>
      </c>
      <c r="AN87" s="17">
        <v>0</v>
      </c>
      <c r="AO87" s="17">
        <v>0</v>
      </c>
      <c r="AP87" s="17">
        <v>0</v>
      </c>
      <c r="AQ87" s="17">
        <v>0</v>
      </c>
      <c r="AR87" s="17">
        <v>0</v>
      </c>
      <c r="AS87" s="17">
        <v>0</v>
      </c>
      <c r="AT87" s="17">
        <v>0</v>
      </c>
      <c r="AU87" s="17">
        <v>0</v>
      </c>
      <c r="AV87" s="17">
        <v>0</v>
      </c>
      <c r="AW87" s="17">
        <v>0</v>
      </c>
      <c r="AX87" s="17">
        <v>0</v>
      </c>
      <c r="AY87" s="17">
        <v>0</v>
      </c>
      <c r="AZ87" s="17">
        <v>0</v>
      </c>
      <c r="BA87" s="17">
        <v>0</v>
      </c>
      <c r="BB87" s="17">
        <v>0</v>
      </c>
      <c r="BC87" s="17">
        <v>0</v>
      </c>
      <c r="BD87" s="17">
        <v>0</v>
      </c>
      <c r="BE87" s="17">
        <v>0</v>
      </c>
      <c r="BF87" s="17">
        <v>0</v>
      </c>
      <c r="BG87" s="17">
        <v>0</v>
      </c>
      <c r="BH87" s="17">
        <v>0</v>
      </c>
      <c r="BI87" s="17">
        <v>0</v>
      </c>
      <c r="BJ87" s="17">
        <v>0</v>
      </c>
      <c r="BK87" s="17">
        <v>0</v>
      </c>
      <c r="BL87" s="17">
        <v>0</v>
      </c>
      <c r="BM87" s="17">
        <v>0</v>
      </c>
      <c r="BN87" s="17">
        <v>0</v>
      </c>
      <c r="BO87" s="17">
        <v>0</v>
      </c>
      <c r="BP87" s="17">
        <v>0</v>
      </c>
      <c r="BQ87" s="17">
        <v>0</v>
      </c>
      <c r="BR87" s="17">
        <v>0</v>
      </c>
      <c r="BS87" s="17">
        <v>0</v>
      </c>
      <c r="BT87" s="17">
        <v>0</v>
      </c>
      <c r="BU87" s="17">
        <v>0</v>
      </c>
      <c r="BV87" s="17">
        <v>0</v>
      </c>
      <c r="BW87" s="17">
        <v>0</v>
      </c>
      <c r="BX87" s="17">
        <v>0</v>
      </c>
      <c r="BY87" s="17">
        <v>0</v>
      </c>
      <c r="BZ87" s="17">
        <v>0</v>
      </c>
      <c r="CA87" s="17">
        <v>0</v>
      </c>
      <c r="CB87" s="17">
        <v>0</v>
      </c>
      <c r="CC87" s="17">
        <v>0</v>
      </c>
      <c r="CD87" s="17">
        <v>0</v>
      </c>
      <c r="CE87" s="17">
        <v>0</v>
      </c>
      <c r="CF87" s="17">
        <v>0</v>
      </c>
      <c r="CG87" s="17">
        <v>0</v>
      </c>
      <c r="CH87" s="17">
        <v>0</v>
      </c>
      <c r="CI87" s="17">
        <v>0</v>
      </c>
      <c r="CJ87" s="17">
        <v>0</v>
      </c>
      <c r="CK87" s="18">
        <v>0</v>
      </c>
    </row>
    <row r="88" spans="1:89">
      <c r="A88" s="5" t="s">
        <v>4</v>
      </c>
      <c r="B88" s="44" t="s">
        <v>5</v>
      </c>
      <c r="C88" s="6" t="s">
        <v>83</v>
      </c>
      <c r="D88" s="5">
        <v>73</v>
      </c>
      <c r="E88" s="31">
        <v>0.16002905819979041</v>
      </c>
      <c r="F88" s="38">
        <f t="shared" si="6"/>
        <v>1504.3587299685621</v>
      </c>
      <c r="J88" s="44">
        <v>73</v>
      </c>
      <c r="K88" s="54">
        <v>0</v>
      </c>
      <c r="L88" s="17">
        <f t="shared" si="4"/>
        <v>0</v>
      </c>
      <c r="M88" s="52">
        <f t="shared" si="7"/>
        <v>0</v>
      </c>
      <c r="N88" s="18">
        <f t="shared" si="5"/>
        <v>0</v>
      </c>
      <c r="R88" s="60">
        <v>2.0828066047439898E-2</v>
      </c>
      <c r="S88" s="16">
        <v>17</v>
      </c>
      <c r="T88" s="17">
        <v>25</v>
      </c>
      <c r="U88" s="18">
        <v>0.125</v>
      </c>
      <c r="W88" s="16">
        <v>1</v>
      </c>
      <c r="X88" s="17">
        <v>0</v>
      </c>
      <c r="Y88" s="17">
        <v>0</v>
      </c>
      <c r="Z88" s="17">
        <v>0</v>
      </c>
      <c r="AA88" s="17">
        <v>0</v>
      </c>
      <c r="AB88" s="17">
        <v>0</v>
      </c>
      <c r="AC88" s="17">
        <v>0</v>
      </c>
      <c r="AD88" s="17">
        <v>0</v>
      </c>
      <c r="AE88" s="17">
        <v>0</v>
      </c>
      <c r="AF88" s="17">
        <v>0</v>
      </c>
      <c r="AG88" s="18">
        <v>0</v>
      </c>
      <c r="AI88" s="16">
        <v>1</v>
      </c>
      <c r="AJ88" s="17">
        <v>0</v>
      </c>
      <c r="AK88" s="17">
        <v>0</v>
      </c>
      <c r="AL88" s="17">
        <v>0</v>
      </c>
      <c r="AM88" s="17">
        <v>0</v>
      </c>
      <c r="AN88" s="17">
        <v>0</v>
      </c>
      <c r="AO88" s="17">
        <v>0</v>
      </c>
      <c r="AP88" s="17">
        <v>0</v>
      </c>
      <c r="AQ88" s="17">
        <v>0</v>
      </c>
      <c r="AR88" s="17">
        <v>0</v>
      </c>
      <c r="AS88" s="17">
        <v>0</v>
      </c>
      <c r="AT88" s="17">
        <v>0</v>
      </c>
      <c r="AU88" s="17">
        <v>0</v>
      </c>
      <c r="AV88" s="17">
        <v>0</v>
      </c>
      <c r="AW88" s="17">
        <v>0</v>
      </c>
      <c r="AX88" s="17">
        <v>0</v>
      </c>
      <c r="AY88" s="17">
        <v>0</v>
      </c>
      <c r="AZ88" s="17">
        <v>0</v>
      </c>
      <c r="BA88" s="17">
        <v>0</v>
      </c>
      <c r="BB88" s="17">
        <v>0</v>
      </c>
      <c r="BC88" s="17">
        <v>0</v>
      </c>
      <c r="BD88" s="17">
        <v>0</v>
      </c>
      <c r="BE88" s="17">
        <v>0</v>
      </c>
      <c r="BF88" s="17">
        <v>0</v>
      </c>
      <c r="BG88" s="17">
        <v>0</v>
      </c>
      <c r="BH88" s="17">
        <v>0</v>
      </c>
      <c r="BI88" s="17">
        <v>0</v>
      </c>
      <c r="BJ88" s="17">
        <v>0</v>
      </c>
      <c r="BK88" s="17">
        <v>0</v>
      </c>
      <c r="BL88" s="17">
        <v>0</v>
      </c>
      <c r="BM88" s="17">
        <v>0</v>
      </c>
      <c r="BN88" s="17">
        <v>0</v>
      </c>
      <c r="BO88" s="17">
        <v>0</v>
      </c>
      <c r="BP88" s="17">
        <v>0</v>
      </c>
      <c r="BQ88" s="17">
        <v>0</v>
      </c>
      <c r="BR88" s="17">
        <v>0</v>
      </c>
      <c r="BS88" s="17">
        <v>0</v>
      </c>
      <c r="BT88" s="17">
        <v>0</v>
      </c>
      <c r="BU88" s="17">
        <v>0</v>
      </c>
      <c r="BV88" s="17">
        <v>0</v>
      </c>
      <c r="BW88" s="17">
        <v>0</v>
      </c>
      <c r="BX88" s="17">
        <v>0</v>
      </c>
      <c r="BY88" s="17">
        <v>0</v>
      </c>
      <c r="BZ88" s="17">
        <v>0</v>
      </c>
      <c r="CA88" s="17">
        <v>0</v>
      </c>
      <c r="CB88" s="17">
        <v>0</v>
      </c>
      <c r="CC88" s="17">
        <v>0</v>
      </c>
      <c r="CD88" s="17">
        <v>0</v>
      </c>
      <c r="CE88" s="17">
        <v>0</v>
      </c>
      <c r="CF88" s="17">
        <v>0</v>
      </c>
      <c r="CG88" s="17">
        <v>0</v>
      </c>
      <c r="CH88" s="17">
        <v>0</v>
      </c>
      <c r="CI88" s="17">
        <v>0</v>
      </c>
      <c r="CJ88" s="17">
        <v>0</v>
      </c>
      <c r="CK88" s="18">
        <v>0</v>
      </c>
    </row>
    <row r="89" spans="1:89">
      <c r="A89" s="5" t="s">
        <v>4</v>
      </c>
      <c r="B89" s="44" t="s">
        <v>5</v>
      </c>
      <c r="C89" s="6" t="s">
        <v>86</v>
      </c>
      <c r="D89" s="5">
        <v>74</v>
      </c>
      <c r="E89" s="31">
        <v>0.16541810447359953</v>
      </c>
      <c r="F89" s="38">
        <f t="shared" si="6"/>
        <v>2312.7156710399304</v>
      </c>
      <c r="J89" s="44">
        <v>74</v>
      </c>
      <c r="K89" s="54">
        <v>0</v>
      </c>
      <c r="L89" s="17">
        <f t="shared" si="4"/>
        <v>0</v>
      </c>
      <c r="M89" s="52">
        <f t="shared" si="7"/>
        <v>0</v>
      </c>
      <c r="N89" s="18">
        <f t="shared" si="5"/>
        <v>0</v>
      </c>
      <c r="R89" s="60">
        <v>2.6967106481809298E-2</v>
      </c>
      <c r="S89" s="16">
        <v>17</v>
      </c>
      <c r="T89" s="17">
        <v>26</v>
      </c>
      <c r="U89" s="18">
        <v>0.125</v>
      </c>
      <c r="W89" s="16">
        <v>1</v>
      </c>
      <c r="X89" s="17">
        <v>0</v>
      </c>
      <c r="Y89" s="17">
        <v>0</v>
      </c>
      <c r="Z89" s="17">
        <v>0</v>
      </c>
      <c r="AA89" s="17">
        <v>0</v>
      </c>
      <c r="AB89" s="17">
        <v>0</v>
      </c>
      <c r="AC89" s="17">
        <v>0</v>
      </c>
      <c r="AD89" s="17">
        <v>0</v>
      </c>
      <c r="AE89" s="17">
        <v>0</v>
      </c>
      <c r="AF89" s="17">
        <v>0</v>
      </c>
      <c r="AG89" s="18">
        <v>0</v>
      </c>
      <c r="AI89" s="16">
        <v>1</v>
      </c>
      <c r="AJ89" s="17">
        <v>0</v>
      </c>
      <c r="AK89" s="17">
        <v>0</v>
      </c>
      <c r="AL89" s="17">
        <v>0</v>
      </c>
      <c r="AM89" s="17">
        <v>0</v>
      </c>
      <c r="AN89" s="17">
        <v>0</v>
      </c>
      <c r="AO89" s="17">
        <v>0</v>
      </c>
      <c r="AP89" s="17">
        <v>0</v>
      </c>
      <c r="AQ89" s="17">
        <v>0</v>
      </c>
      <c r="AR89" s="17">
        <v>0</v>
      </c>
      <c r="AS89" s="17">
        <v>0</v>
      </c>
      <c r="AT89" s="17">
        <v>0</v>
      </c>
      <c r="AU89" s="17">
        <v>0</v>
      </c>
      <c r="AV89" s="17">
        <v>0</v>
      </c>
      <c r="AW89" s="17">
        <v>0</v>
      </c>
      <c r="AX89" s="17">
        <v>0</v>
      </c>
      <c r="AY89" s="17">
        <v>0</v>
      </c>
      <c r="AZ89" s="17">
        <v>0</v>
      </c>
      <c r="BA89" s="17">
        <v>0</v>
      </c>
      <c r="BB89" s="17">
        <v>0</v>
      </c>
      <c r="BC89" s="17">
        <v>0</v>
      </c>
      <c r="BD89" s="17">
        <v>0</v>
      </c>
      <c r="BE89" s="17">
        <v>0</v>
      </c>
      <c r="BF89" s="17">
        <v>0</v>
      </c>
      <c r="BG89" s="17">
        <v>0</v>
      </c>
      <c r="BH89" s="17">
        <v>0</v>
      </c>
      <c r="BI89" s="17">
        <v>0</v>
      </c>
      <c r="BJ89" s="17">
        <v>0</v>
      </c>
      <c r="BK89" s="17">
        <v>0</v>
      </c>
      <c r="BL89" s="17">
        <v>0</v>
      </c>
      <c r="BM89" s="17">
        <v>0</v>
      </c>
      <c r="BN89" s="17">
        <v>0</v>
      </c>
      <c r="BO89" s="17">
        <v>0</v>
      </c>
      <c r="BP89" s="17">
        <v>0</v>
      </c>
      <c r="BQ89" s="17">
        <v>0</v>
      </c>
      <c r="BR89" s="17">
        <v>0</v>
      </c>
      <c r="BS89" s="17">
        <v>0</v>
      </c>
      <c r="BT89" s="17">
        <v>0</v>
      </c>
      <c r="BU89" s="17">
        <v>0</v>
      </c>
      <c r="BV89" s="17">
        <v>0</v>
      </c>
      <c r="BW89" s="17">
        <v>0</v>
      </c>
      <c r="BX89" s="17">
        <v>0</v>
      </c>
      <c r="BY89" s="17">
        <v>0</v>
      </c>
      <c r="BZ89" s="17">
        <v>0</v>
      </c>
      <c r="CA89" s="17">
        <v>0</v>
      </c>
      <c r="CB89" s="17">
        <v>0</v>
      </c>
      <c r="CC89" s="17">
        <v>0</v>
      </c>
      <c r="CD89" s="17">
        <v>0</v>
      </c>
      <c r="CE89" s="17">
        <v>0</v>
      </c>
      <c r="CF89" s="17">
        <v>0</v>
      </c>
      <c r="CG89" s="17">
        <v>0</v>
      </c>
      <c r="CH89" s="17">
        <v>0</v>
      </c>
      <c r="CI89" s="17">
        <v>0</v>
      </c>
      <c r="CJ89" s="17">
        <v>0</v>
      </c>
      <c r="CK89" s="18">
        <v>0</v>
      </c>
    </row>
    <row r="90" spans="1:89">
      <c r="A90" s="5" t="s">
        <v>4</v>
      </c>
      <c r="B90" s="44" t="s">
        <v>5</v>
      </c>
      <c r="C90" s="6" t="s">
        <v>91</v>
      </c>
      <c r="D90" s="5">
        <v>75</v>
      </c>
      <c r="E90" s="31">
        <v>0.15707980580129657</v>
      </c>
      <c r="F90" s="38">
        <f t="shared" si="6"/>
        <v>1061.9708701944869</v>
      </c>
      <c r="J90" s="44">
        <v>75</v>
      </c>
      <c r="K90" s="54">
        <v>0</v>
      </c>
      <c r="L90" s="17">
        <f t="shared" si="4"/>
        <v>0</v>
      </c>
      <c r="M90" s="52">
        <f t="shared" si="7"/>
        <v>0</v>
      </c>
      <c r="N90" s="18">
        <f t="shared" si="5"/>
        <v>0</v>
      </c>
      <c r="R90" s="60">
        <v>1.9006409597036499E-2</v>
      </c>
      <c r="S90" s="16">
        <v>17</v>
      </c>
      <c r="T90" s="17">
        <v>27</v>
      </c>
      <c r="U90" s="18">
        <v>0.125</v>
      </c>
      <c r="W90" s="16">
        <v>1</v>
      </c>
      <c r="X90" s="17">
        <v>0</v>
      </c>
      <c r="Y90" s="17">
        <v>0</v>
      </c>
      <c r="Z90" s="17">
        <v>0</v>
      </c>
      <c r="AA90" s="17">
        <v>0</v>
      </c>
      <c r="AB90" s="17">
        <v>0</v>
      </c>
      <c r="AC90" s="17">
        <v>0</v>
      </c>
      <c r="AD90" s="17">
        <v>0</v>
      </c>
      <c r="AE90" s="17">
        <v>0</v>
      </c>
      <c r="AF90" s="17">
        <v>0</v>
      </c>
      <c r="AG90" s="18">
        <v>0</v>
      </c>
      <c r="AI90" s="16">
        <v>1</v>
      </c>
      <c r="AJ90" s="17">
        <v>0</v>
      </c>
      <c r="AK90" s="17">
        <v>0</v>
      </c>
      <c r="AL90" s="17">
        <v>0</v>
      </c>
      <c r="AM90" s="17">
        <v>0</v>
      </c>
      <c r="AN90" s="17">
        <v>0</v>
      </c>
      <c r="AO90" s="17">
        <v>0</v>
      </c>
      <c r="AP90" s="17">
        <v>0</v>
      </c>
      <c r="AQ90" s="17">
        <v>0</v>
      </c>
      <c r="AR90" s="17">
        <v>0</v>
      </c>
      <c r="AS90" s="17">
        <v>0</v>
      </c>
      <c r="AT90" s="17">
        <v>0</v>
      </c>
      <c r="AU90" s="17">
        <v>0</v>
      </c>
      <c r="AV90" s="17">
        <v>0</v>
      </c>
      <c r="AW90" s="17">
        <v>0</v>
      </c>
      <c r="AX90" s="17">
        <v>0</v>
      </c>
      <c r="AY90" s="17">
        <v>0</v>
      </c>
      <c r="AZ90" s="17">
        <v>0</v>
      </c>
      <c r="BA90" s="17">
        <v>0</v>
      </c>
      <c r="BB90" s="17">
        <v>0</v>
      </c>
      <c r="BC90" s="17">
        <v>0</v>
      </c>
      <c r="BD90" s="17">
        <v>0</v>
      </c>
      <c r="BE90" s="17">
        <v>0</v>
      </c>
      <c r="BF90" s="17">
        <v>0</v>
      </c>
      <c r="BG90" s="17">
        <v>0</v>
      </c>
      <c r="BH90" s="17">
        <v>0</v>
      </c>
      <c r="BI90" s="17">
        <v>0</v>
      </c>
      <c r="BJ90" s="17">
        <v>0</v>
      </c>
      <c r="BK90" s="17">
        <v>0</v>
      </c>
      <c r="BL90" s="17">
        <v>0</v>
      </c>
      <c r="BM90" s="17">
        <v>0</v>
      </c>
      <c r="BN90" s="17">
        <v>0</v>
      </c>
      <c r="BO90" s="17">
        <v>0</v>
      </c>
      <c r="BP90" s="17">
        <v>0</v>
      </c>
      <c r="BQ90" s="17">
        <v>0</v>
      </c>
      <c r="BR90" s="17">
        <v>0</v>
      </c>
      <c r="BS90" s="17">
        <v>0</v>
      </c>
      <c r="BT90" s="17">
        <v>0</v>
      </c>
      <c r="BU90" s="17">
        <v>0</v>
      </c>
      <c r="BV90" s="17">
        <v>0</v>
      </c>
      <c r="BW90" s="17">
        <v>0</v>
      </c>
      <c r="BX90" s="17">
        <v>0</v>
      </c>
      <c r="BY90" s="17">
        <v>0</v>
      </c>
      <c r="BZ90" s="17">
        <v>0</v>
      </c>
      <c r="CA90" s="17">
        <v>0</v>
      </c>
      <c r="CB90" s="17">
        <v>0</v>
      </c>
      <c r="CC90" s="17">
        <v>0</v>
      </c>
      <c r="CD90" s="17">
        <v>0</v>
      </c>
      <c r="CE90" s="17">
        <v>0</v>
      </c>
      <c r="CF90" s="17">
        <v>0</v>
      </c>
      <c r="CG90" s="17">
        <v>0</v>
      </c>
      <c r="CH90" s="17">
        <v>0</v>
      </c>
      <c r="CI90" s="17">
        <v>0</v>
      </c>
      <c r="CJ90" s="17">
        <v>0</v>
      </c>
      <c r="CK90" s="18">
        <v>0</v>
      </c>
    </row>
    <row r="91" spans="1:89">
      <c r="A91" s="5" t="s">
        <v>4</v>
      </c>
      <c r="B91" s="44" t="s">
        <v>5</v>
      </c>
      <c r="C91" s="6" t="s">
        <v>92</v>
      </c>
      <c r="D91" s="5">
        <v>76</v>
      </c>
      <c r="E91" s="31">
        <v>0.15863387491154779</v>
      </c>
      <c r="F91" s="38">
        <f t="shared" si="6"/>
        <v>1295.0812367321694</v>
      </c>
      <c r="J91" s="44">
        <v>76</v>
      </c>
      <c r="K91" s="54">
        <v>0</v>
      </c>
      <c r="L91" s="17">
        <f t="shared" si="4"/>
        <v>0</v>
      </c>
      <c r="M91" s="52">
        <f t="shared" si="7"/>
        <v>0</v>
      </c>
      <c r="N91" s="18">
        <f t="shared" si="5"/>
        <v>0</v>
      </c>
      <c r="R91" s="60">
        <v>1.7294162295658701E-2</v>
      </c>
      <c r="S91" s="16">
        <v>17</v>
      </c>
      <c r="T91" s="17">
        <v>28</v>
      </c>
      <c r="U91" s="18">
        <v>0.125</v>
      </c>
      <c r="W91" s="16">
        <v>1</v>
      </c>
      <c r="X91" s="17">
        <v>0</v>
      </c>
      <c r="Y91" s="17">
        <v>0</v>
      </c>
      <c r="Z91" s="17">
        <v>0</v>
      </c>
      <c r="AA91" s="17">
        <v>0</v>
      </c>
      <c r="AB91" s="17">
        <v>0</v>
      </c>
      <c r="AC91" s="17">
        <v>0</v>
      </c>
      <c r="AD91" s="17">
        <v>0</v>
      </c>
      <c r="AE91" s="17">
        <v>0</v>
      </c>
      <c r="AF91" s="17">
        <v>0</v>
      </c>
      <c r="AG91" s="18">
        <v>0</v>
      </c>
      <c r="AI91" s="16">
        <v>1</v>
      </c>
      <c r="AJ91" s="17">
        <v>0</v>
      </c>
      <c r="AK91" s="17">
        <v>0</v>
      </c>
      <c r="AL91" s="17">
        <v>0</v>
      </c>
      <c r="AM91" s="17">
        <v>0</v>
      </c>
      <c r="AN91" s="17">
        <v>0</v>
      </c>
      <c r="AO91" s="17">
        <v>0</v>
      </c>
      <c r="AP91" s="17">
        <v>0</v>
      </c>
      <c r="AQ91" s="17">
        <v>0</v>
      </c>
      <c r="AR91" s="17">
        <v>0</v>
      </c>
      <c r="AS91" s="17">
        <v>0</v>
      </c>
      <c r="AT91" s="17">
        <v>0</v>
      </c>
      <c r="AU91" s="17">
        <v>0</v>
      </c>
      <c r="AV91" s="17">
        <v>0</v>
      </c>
      <c r="AW91" s="17">
        <v>0</v>
      </c>
      <c r="AX91" s="17">
        <v>0</v>
      </c>
      <c r="AY91" s="17">
        <v>0</v>
      </c>
      <c r="AZ91" s="17">
        <v>0</v>
      </c>
      <c r="BA91" s="17">
        <v>0</v>
      </c>
      <c r="BB91" s="17">
        <v>0</v>
      </c>
      <c r="BC91" s="17">
        <v>0</v>
      </c>
      <c r="BD91" s="17">
        <v>0</v>
      </c>
      <c r="BE91" s="17">
        <v>0</v>
      </c>
      <c r="BF91" s="17">
        <v>0</v>
      </c>
      <c r="BG91" s="17">
        <v>0</v>
      </c>
      <c r="BH91" s="17">
        <v>0</v>
      </c>
      <c r="BI91" s="17">
        <v>0</v>
      </c>
      <c r="BJ91" s="17">
        <v>0</v>
      </c>
      <c r="BK91" s="17">
        <v>0</v>
      </c>
      <c r="BL91" s="17">
        <v>0</v>
      </c>
      <c r="BM91" s="17">
        <v>0</v>
      </c>
      <c r="BN91" s="17">
        <v>0</v>
      </c>
      <c r="BO91" s="17">
        <v>0</v>
      </c>
      <c r="BP91" s="17">
        <v>0</v>
      </c>
      <c r="BQ91" s="17">
        <v>0</v>
      </c>
      <c r="BR91" s="17">
        <v>0</v>
      </c>
      <c r="BS91" s="17">
        <v>0</v>
      </c>
      <c r="BT91" s="17">
        <v>0</v>
      </c>
      <c r="BU91" s="17">
        <v>0</v>
      </c>
      <c r="BV91" s="17">
        <v>0</v>
      </c>
      <c r="BW91" s="17">
        <v>0</v>
      </c>
      <c r="BX91" s="17">
        <v>0</v>
      </c>
      <c r="BY91" s="17">
        <v>0</v>
      </c>
      <c r="BZ91" s="17">
        <v>0</v>
      </c>
      <c r="CA91" s="17">
        <v>0</v>
      </c>
      <c r="CB91" s="17">
        <v>0</v>
      </c>
      <c r="CC91" s="17">
        <v>0</v>
      </c>
      <c r="CD91" s="17">
        <v>0</v>
      </c>
      <c r="CE91" s="17">
        <v>0</v>
      </c>
      <c r="CF91" s="17">
        <v>0</v>
      </c>
      <c r="CG91" s="17">
        <v>0</v>
      </c>
      <c r="CH91" s="17">
        <v>0</v>
      </c>
      <c r="CI91" s="17">
        <v>0</v>
      </c>
      <c r="CJ91" s="17">
        <v>0</v>
      </c>
      <c r="CK91" s="18">
        <v>0</v>
      </c>
    </row>
    <row r="92" spans="1:89">
      <c r="A92" s="5" t="s">
        <v>4</v>
      </c>
      <c r="B92" s="44" t="s">
        <v>5</v>
      </c>
      <c r="C92" s="6" t="s">
        <v>93</v>
      </c>
      <c r="D92" s="5">
        <v>77</v>
      </c>
      <c r="E92" s="31">
        <v>0.16163339613650418</v>
      </c>
      <c r="F92" s="38">
        <f t="shared" si="6"/>
        <v>1745.0094204756281</v>
      </c>
      <c r="J92" s="44">
        <v>77</v>
      </c>
      <c r="K92" s="54">
        <v>0</v>
      </c>
      <c r="L92" s="17">
        <f t="shared" si="4"/>
        <v>0</v>
      </c>
      <c r="M92" s="52">
        <f t="shared" si="7"/>
        <v>0</v>
      </c>
      <c r="N92" s="18">
        <f t="shared" si="5"/>
        <v>0</v>
      </c>
      <c r="R92" s="60">
        <v>2.2167745468810399E-2</v>
      </c>
      <c r="S92" s="16">
        <v>17</v>
      </c>
      <c r="T92" s="17">
        <v>29</v>
      </c>
      <c r="U92" s="18">
        <v>0.125</v>
      </c>
      <c r="W92" s="16">
        <v>1</v>
      </c>
      <c r="X92" s="17">
        <v>0</v>
      </c>
      <c r="Y92" s="17">
        <v>0</v>
      </c>
      <c r="Z92" s="17">
        <v>0</v>
      </c>
      <c r="AA92" s="17">
        <v>0</v>
      </c>
      <c r="AB92" s="17">
        <v>0</v>
      </c>
      <c r="AC92" s="17">
        <v>0</v>
      </c>
      <c r="AD92" s="17">
        <v>0</v>
      </c>
      <c r="AE92" s="17">
        <v>0</v>
      </c>
      <c r="AF92" s="17">
        <v>0</v>
      </c>
      <c r="AG92" s="18">
        <v>0</v>
      </c>
      <c r="AI92" s="16">
        <v>1</v>
      </c>
      <c r="AJ92" s="17">
        <v>0</v>
      </c>
      <c r="AK92" s="17">
        <v>0</v>
      </c>
      <c r="AL92" s="17">
        <v>0</v>
      </c>
      <c r="AM92" s="17">
        <v>0</v>
      </c>
      <c r="AN92" s="17">
        <v>0</v>
      </c>
      <c r="AO92" s="17">
        <v>0</v>
      </c>
      <c r="AP92" s="17">
        <v>0</v>
      </c>
      <c r="AQ92" s="17">
        <v>0</v>
      </c>
      <c r="AR92" s="17">
        <v>0</v>
      </c>
      <c r="AS92" s="17">
        <v>0</v>
      </c>
      <c r="AT92" s="17">
        <v>0</v>
      </c>
      <c r="AU92" s="17">
        <v>0</v>
      </c>
      <c r="AV92" s="17">
        <v>0</v>
      </c>
      <c r="AW92" s="17">
        <v>0</v>
      </c>
      <c r="AX92" s="17">
        <v>0</v>
      </c>
      <c r="AY92" s="17">
        <v>0</v>
      </c>
      <c r="AZ92" s="17">
        <v>0</v>
      </c>
      <c r="BA92" s="17">
        <v>0</v>
      </c>
      <c r="BB92" s="17">
        <v>0</v>
      </c>
      <c r="BC92" s="17">
        <v>0</v>
      </c>
      <c r="BD92" s="17">
        <v>0</v>
      </c>
      <c r="BE92" s="17">
        <v>0</v>
      </c>
      <c r="BF92" s="17">
        <v>0</v>
      </c>
      <c r="BG92" s="17">
        <v>0</v>
      </c>
      <c r="BH92" s="17">
        <v>0</v>
      </c>
      <c r="BI92" s="17">
        <v>0</v>
      </c>
      <c r="BJ92" s="17">
        <v>0</v>
      </c>
      <c r="BK92" s="17">
        <v>0</v>
      </c>
      <c r="BL92" s="17">
        <v>0</v>
      </c>
      <c r="BM92" s="17">
        <v>0</v>
      </c>
      <c r="BN92" s="17">
        <v>0</v>
      </c>
      <c r="BO92" s="17">
        <v>0</v>
      </c>
      <c r="BP92" s="17">
        <v>0</v>
      </c>
      <c r="BQ92" s="17">
        <v>0</v>
      </c>
      <c r="BR92" s="17">
        <v>0</v>
      </c>
      <c r="BS92" s="17">
        <v>0</v>
      </c>
      <c r="BT92" s="17">
        <v>0</v>
      </c>
      <c r="BU92" s="17">
        <v>0</v>
      </c>
      <c r="BV92" s="17">
        <v>0</v>
      </c>
      <c r="BW92" s="17">
        <v>0</v>
      </c>
      <c r="BX92" s="17">
        <v>0</v>
      </c>
      <c r="BY92" s="17">
        <v>0</v>
      </c>
      <c r="BZ92" s="17">
        <v>0</v>
      </c>
      <c r="CA92" s="17">
        <v>0</v>
      </c>
      <c r="CB92" s="17">
        <v>0</v>
      </c>
      <c r="CC92" s="17">
        <v>0</v>
      </c>
      <c r="CD92" s="17">
        <v>0</v>
      </c>
      <c r="CE92" s="17">
        <v>0</v>
      </c>
      <c r="CF92" s="17">
        <v>0</v>
      </c>
      <c r="CG92" s="17">
        <v>0</v>
      </c>
      <c r="CH92" s="17">
        <v>0</v>
      </c>
      <c r="CI92" s="17">
        <v>0</v>
      </c>
      <c r="CJ92" s="17">
        <v>0</v>
      </c>
      <c r="CK92" s="18">
        <v>0</v>
      </c>
    </row>
    <row r="93" spans="1:89">
      <c r="A93" s="5" t="s">
        <v>7</v>
      </c>
      <c r="B93" s="44" t="s">
        <v>84</v>
      </c>
      <c r="C93" s="6" t="s">
        <v>85</v>
      </c>
      <c r="D93" s="5">
        <v>78</v>
      </c>
      <c r="E93" s="31">
        <v>0.15517495832401099</v>
      </c>
      <c r="F93" s="38">
        <f t="shared" si="6"/>
        <v>776.2437486016488</v>
      </c>
      <c r="J93" s="44">
        <v>78</v>
      </c>
      <c r="K93" s="54">
        <v>0</v>
      </c>
      <c r="L93" s="17">
        <f t="shared" si="4"/>
        <v>0</v>
      </c>
      <c r="M93" s="52">
        <f t="shared" si="7"/>
        <v>0</v>
      </c>
      <c r="N93" s="18">
        <f t="shared" si="5"/>
        <v>0</v>
      </c>
      <c r="R93" s="60">
        <v>3.0012272048157599E-2</v>
      </c>
      <c r="S93" s="16">
        <v>17</v>
      </c>
      <c r="T93" s="17">
        <v>72</v>
      </c>
      <c r="U93" s="18">
        <v>0.125</v>
      </c>
      <c r="W93" s="16">
        <v>0</v>
      </c>
      <c r="X93" s="17">
        <v>0</v>
      </c>
      <c r="Y93" s="17">
        <v>0</v>
      </c>
      <c r="Z93" s="17">
        <v>0</v>
      </c>
      <c r="AA93" s="17">
        <v>0</v>
      </c>
      <c r="AB93" s="17">
        <v>0</v>
      </c>
      <c r="AC93" s="17">
        <v>0</v>
      </c>
      <c r="AD93" s="17">
        <v>0</v>
      </c>
      <c r="AE93" s="17">
        <v>0</v>
      </c>
      <c r="AF93" s="17">
        <v>1</v>
      </c>
      <c r="AG93" s="18">
        <v>0</v>
      </c>
      <c r="AI93" s="16">
        <v>0</v>
      </c>
      <c r="AJ93" s="17">
        <v>0</v>
      </c>
      <c r="AK93" s="17">
        <v>0</v>
      </c>
      <c r="AL93" s="17">
        <v>0</v>
      </c>
      <c r="AM93" s="17">
        <v>0</v>
      </c>
      <c r="AN93" s="17">
        <v>0</v>
      </c>
      <c r="AO93" s="17">
        <v>0</v>
      </c>
      <c r="AP93" s="17">
        <v>0</v>
      </c>
      <c r="AQ93" s="17">
        <v>0</v>
      </c>
      <c r="AR93" s="17">
        <v>1</v>
      </c>
      <c r="AS93" s="17">
        <v>0</v>
      </c>
      <c r="AT93" s="17">
        <v>0</v>
      </c>
      <c r="AU93" s="17">
        <v>0</v>
      </c>
      <c r="AV93" s="17">
        <v>0</v>
      </c>
      <c r="AW93" s="17">
        <v>0</v>
      </c>
      <c r="AX93" s="17">
        <v>0</v>
      </c>
      <c r="AY93" s="17">
        <v>0</v>
      </c>
      <c r="AZ93" s="17">
        <v>0</v>
      </c>
      <c r="BA93" s="17">
        <v>0</v>
      </c>
      <c r="BB93" s="17">
        <v>0</v>
      </c>
      <c r="BC93" s="17">
        <v>0</v>
      </c>
      <c r="BD93" s="17">
        <v>0</v>
      </c>
      <c r="BE93" s="17">
        <v>0</v>
      </c>
      <c r="BF93" s="17">
        <v>0</v>
      </c>
      <c r="BG93" s="17">
        <v>0</v>
      </c>
      <c r="BH93" s="17">
        <v>0</v>
      </c>
      <c r="BI93" s="17">
        <v>0</v>
      </c>
      <c r="BJ93" s="17">
        <v>0</v>
      </c>
      <c r="BK93" s="17">
        <v>0</v>
      </c>
      <c r="BL93" s="17">
        <v>0</v>
      </c>
      <c r="BM93" s="17">
        <v>0</v>
      </c>
      <c r="BN93" s="17">
        <v>0</v>
      </c>
      <c r="BO93" s="17">
        <v>0</v>
      </c>
      <c r="BP93" s="17">
        <v>0</v>
      </c>
      <c r="BQ93" s="17">
        <v>0</v>
      </c>
      <c r="BR93" s="17">
        <v>0</v>
      </c>
      <c r="BS93" s="17">
        <v>0</v>
      </c>
      <c r="BT93" s="17">
        <v>0</v>
      </c>
      <c r="BU93" s="17">
        <v>0</v>
      </c>
      <c r="BV93" s="17">
        <v>0</v>
      </c>
      <c r="BW93" s="17">
        <v>0</v>
      </c>
      <c r="BX93" s="17">
        <v>0</v>
      </c>
      <c r="BY93" s="17">
        <v>0</v>
      </c>
      <c r="BZ93" s="17">
        <v>0</v>
      </c>
      <c r="CA93" s="17">
        <v>0</v>
      </c>
      <c r="CB93" s="17">
        <v>0</v>
      </c>
      <c r="CC93" s="17">
        <v>0</v>
      </c>
      <c r="CD93" s="17">
        <v>0</v>
      </c>
      <c r="CE93" s="17">
        <v>0</v>
      </c>
      <c r="CF93" s="17">
        <v>0</v>
      </c>
      <c r="CG93" s="17">
        <v>0</v>
      </c>
      <c r="CH93" s="17">
        <v>0</v>
      </c>
      <c r="CI93" s="17">
        <v>0</v>
      </c>
      <c r="CJ93" s="17">
        <v>0</v>
      </c>
      <c r="CK93" s="18">
        <v>0</v>
      </c>
    </row>
    <row r="94" spans="1:89">
      <c r="A94" s="5" t="s">
        <v>7</v>
      </c>
      <c r="B94" s="44" t="s">
        <v>84</v>
      </c>
      <c r="C94" s="6" t="s">
        <v>87</v>
      </c>
      <c r="D94" s="5">
        <v>79</v>
      </c>
      <c r="E94" s="31">
        <v>0.15562460121417487</v>
      </c>
      <c r="F94" s="38">
        <f t="shared" si="6"/>
        <v>843.69018212623189</v>
      </c>
      <c r="J94" s="44">
        <v>79</v>
      </c>
      <c r="K94" s="54">
        <v>0</v>
      </c>
      <c r="L94" s="17">
        <f t="shared" si="4"/>
        <v>0</v>
      </c>
      <c r="M94" s="52">
        <f t="shared" si="7"/>
        <v>0</v>
      </c>
      <c r="N94" s="18">
        <f t="shared" si="5"/>
        <v>0</v>
      </c>
      <c r="R94" s="60">
        <v>3.0462847565538E-2</v>
      </c>
      <c r="S94" s="16">
        <v>17</v>
      </c>
      <c r="T94" s="17">
        <v>74</v>
      </c>
      <c r="U94" s="18">
        <v>0.125</v>
      </c>
      <c r="W94" s="16">
        <v>0</v>
      </c>
      <c r="X94" s="17">
        <v>0</v>
      </c>
      <c r="Y94" s="17">
        <v>0</v>
      </c>
      <c r="Z94" s="17">
        <v>0</v>
      </c>
      <c r="AA94" s="17">
        <v>0</v>
      </c>
      <c r="AB94" s="17">
        <v>0</v>
      </c>
      <c r="AC94" s="17">
        <v>0</v>
      </c>
      <c r="AD94" s="17">
        <v>0</v>
      </c>
      <c r="AE94" s="17">
        <v>0</v>
      </c>
      <c r="AF94" s="17">
        <v>1</v>
      </c>
      <c r="AG94" s="18">
        <v>0</v>
      </c>
      <c r="AI94" s="16">
        <v>0</v>
      </c>
      <c r="AJ94" s="17">
        <v>0</v>
      </c>
      <c r="AK94" s="17">
        <v>0</v>
      </c>
      <c r="AL94" s="17">
        <v>0</v>
      </c>
      <c r="AM94" s="17">
        <v>0</v>
      </c>
      <c r="AN94" s="17">
        <v>0</v>
      </c>
      <c r="AO94" s="17">
        <v>0</v>
      </c>
      <c r="AP94" s="17">
        <v>0</v>
      </c>
      <c r="AQ94" s="17">
        <v>0</v>
      </c>
      <c r="AR94" s="17">
        <v>1</v>
      </c>
      <c r="AS94" s="17">
        <v>0</v>
      </c>
      <c r="AT94" s="17">
        <v>0</v>
      </c>
      <c r="AU94" s="17">
        <v>0</v>
      </c>
      <c r="AV94" s="17">
        <v>0</v>
      </c>
      <c r="AW94" s="17">
        <v>0</v>
      </c>
      <c r="AX94" s="17">
        <v>0</v>
      </c>
      <c r="AY94" s="17">
        <v>0</v>
      </c>
      <c r="AZ94" s="17">
        <v>0</v>
      </c>
      <c r="BA94" s="17">
        <v>0</v>
      </c>
      <c r="BB94" s="17">
        <v>0</v>
      </c>
      <c r="BC94" s="17">
        <v>0</v>
      </c>
      <c r="BD94" s="17">
        <v>0</v>
      </c>
      <c r="BE94" s="17">
        <v>0</v>
      </c>
      <c r="BF94" s="17">
        <v>0</v>
      </c>
      <c r="BG94" s="17">
        <v>0</v>
      </c>
      <c r="BH94" s="17">
        <v>0</v>
      </c>
      <c r="BI94" s="17">
        <v>0</v>
      </c>
      <c r="BJ94" s="17">
        <v>0</v>
      </c>
      <c r="BK94" s="17">
        <v>0</v>
      </c>
      <c r="BL94" s="17">
        <v>0</v>
      </c>
      <c r="BM94" s="17">
        <v>0</v>
      </c>
      <c r="BN94" s="17">
        <v>0</v>
      </c>
      <c r="BO94" s="17">
        <v>0</v>
      </c>
      <c r="BP94" s="17">
        <v>0</v>
      </c>
      <c r="BQ94" s="17">
        <v>0</v>
      </c>
      <c r="BR94" s="17">
        <v>0</v>
      </c>
      <c r="BS94" s="17">
        <v>0</v>
      </c>
      <c r="BT94" s="17">
        <v>0</v>
      </c>
      <c r="BU94" s="17">
        <v>0</v>
      </c>
      <c r="BV94" s="17">
        <v>0</v>
      </c>
      <c r="BW94" s="17">
        <v>0</v>
      </c>
      <c r="BX94" s="17">
        <v>0</v>
      </c>
      <c r="BY94" s="17">
        <v>0</v>
      </c>
      <c r="BZ94" s="17">
        <v>0</v>
      </c>
      <c r="CA94" s="17">
        <v>0</v>
      </c>
      <c r="CB94" s="17">
        <v>0</v>
      </c>
      <c r="CC94" s="17">
        <v>0</v>
      </c>
      <c r="CD94" s="17">
        <v>0</v>
      </c>
      <c r="CE94" s="17">
        <v>0</v>
      </c>
      <c r="CF94" s="17">
        <v>0</v>
      </c>
      <c r="CG94" s="17">
        <v>0</v>
      </c>
      <c r="CH94" s="17">
        <v>0</v>
      </c>
      <c r="CI94" s="17">
        <v>0</v>
      </c>
      <c r="CJ94" s="17">
        <v>0</v>
      </c>
      <c r="CK94" s="18">
        <v>0</v>
      </c>
    </row>
    <row r="95" spans="1:89">
      <c r="A95" s="5" t="s">
        <v>7</v>
      </c>
      <c r="B95" s="44" t="s">
        <v>84</v>
      </c>
      <c r="C95" s="6" t="s">
        <v>88</v>
      </c>
      <c r="D95" s="5">
        <v>80</v>
      </c>
      <c r="E95" s="31">
        <v>0.15968850395729908</v>
      </c>
      <c r="F95" s="38">
        <f t="shared" si="6"/>
        <v>1453.275593594863</v>
      </c>
      <c r="J95" s="44">
        <v>80</v>
      </c>
      <c r="K95" s="54">
        <v>0</v>
      </c>
      <c r="L95" s="17">
        <f t="shared" si="4"/>
        <v>0</v>
      </c>
      <c r="M95" s="52">
        <f t="shared" si="7"/>
        <v>0</v>
      </c>
      <c r="N95" s="18">
        <f t="shared" si="5"/>
        <v>0</v>
      </c>
      <c r="R95" s="60">
        <v>3.4549719917144998E-2</v>
      </c>
      <c r="S95" s="16">
        <v>18</v>
      </c>
      <c r="T95" s="17">
        <v>17</v>
      </c>
      <c r="U95" s="18">
        <v>0.16666666666666666</v>
      </c>
      <c r="W95" s="16">
        <v>0</v>
      </c>
      <c r="X95" s="17">
        <v>0</v>
      </c>
      <c r="Y95" s="17">
        <v>0</v>
      </c>
      <c r="Z95" s="17">
        <v>0</v>
      </c>
      <c r="AA95" s="17">
        <v>0</v>
      </c>
      <c r="AB95" s="17">
        <v>0</v>
      </c>
      <c r="AC95" s="17">
        <v>0</v>
      </c>
      <c r="AD95" s="17">
        <v>0</v>
      </c>
      <c r="AE95" s="17">
        <v>0</v>
      </c>
      <c r="AF95" s="17">
        <v>1</v>
      </c>
      <c r="AG95" s="18">
        <v>0</v>
      </c>
      <c r="AI95" s="16">
        <v>0</v>
      </c>
      <c r="AJ95" s="17">
        <v>0</v>
      </c>
      <c r="AK95" s="17">
        <v>0</v>
      </c>
      <c r="AL95" s="17">
        <v>0</v>
      </c>
      <c r="AM95" s="17">
        <v>0</v>
      </c>
      <c r="AN95" s="17">
        <v>0</v>
      </c>
      <c r="AO95" s="17">
        <v>0</v>
      </c>
      <c r="AP95" s="17">
        <v>0</v>
      </c>
      <c r="AQ95" s="17">
        <v>0</v>
      </c>
      <c r="AR95" s="17">
        <v>1</v>
      </c>
      <c r="AS95" s="17">
        <v>0</v>
      </c>
      <c r="AT95" s="17">
        <v>0</v>
      </c>
      <c r="AU95" s="17">
        <v>0</v>
      </c>
      <c r="AV95" s="17">
        <v>0</v>
      </c>
      <c r="AW95" s="17">
        <v>0</v>
      </c>
      <c r="AX95" s="17">
        <v>0</v>
      </c>
      <c r="AY95" s="17">
        <v>0</v>
      </c>
      <c r="AZ95" s="17">
        <v>0</v>
      </c>
      <c r="BA95" s="17">
        <v>0</v>
      </c>
      <c r="BB95" s="17">
        <v>0</v>
      </c>
      <c r="BC95" s="17">
        <v>0</v>
      </c>
      <c r="BD95" s="17">
        <v>0</v>
      </c>
      <c r="BE95" s="17">
        <v>0</v>
      </c>
      <c r="BF95" s="17">
        <v>0</v>
      </c>
      <c r="BG95" s="17">
        <v>0</v>
      </c>
      <c r="BH95" s="17">
        <v>0</v>
      </c>
      <c r="BI95" s="17">
        <v>0</v>
      </c>
      <c r="BJ95" s="17">
        <v>0</v>
      </c>
      <c r="BK95" s="17">
        <v>0</v>
      </c>
      <c r="BL95" s="17">
        <v>0</v>
      </c>
      <c r="BM95" s="17">
        <v>0</v>
      </c>
      <c r="BN95" s="17">
        <v>0</v>
      </c>
      <c r="BO95" s="17">
        <v>0</v>
      </c>
      <c r="BP95" s="17">
        <v>0</v>
      </c>
      <c r="BQ95" s="17">
        <v>0</v>
      </c>
      <c r="BR95" s="17">
        <v>0</v>
      </c>
      <c r="BS95" s="17">
        <v>0</v>
      </c>
      <c r="BT95" s="17">
        <v>0</v>
      </c>
      <c r="BU95" s="17">
        <v>0</v>
      </c>
      <c r="BV95" s="17">
        <v>0</v>
      </c>
      <c r="BW95" s="17">
        <v>0</v>
      </c>
      <c r="BX95" s="17">
        <v>0</v>
      </c>
      <c r="BY95" s="17">
        <v>0</v>
      </c>
      <c r="BZ95" s="17">
        <v>0</v>
      </c>
      <c r="CA95" s="17">
        <v>0</v>
      </c>
      <c r="CB95" s="17">
        <v>0</v>
      </c>
      <c r="CC95" s="17">
        <v>0</v>
      </c>
      <c r="CD95" s="17">
        <v>0</v>
      </c>
      <c r="CE95" s="17">
        <v>0</v>
      </c>
      <c r="CF95" s="17">
        <v>0</v>
      </c>
      <c r="CG95" s="17">
        <v>0</v>
      </c>
      <c r="CH95" s="17">
        <v>0</v>
      </c>
      <c r="CI95" s="17">
        <v>0</v>
      </c>
      <c r="CJ95" s="17">
        <v>0</v>
      </c>
      <c r="CK95" s="18">
        <v>0</v>
      </c>
    </row>
    <row r="96" spans="1:89">
      <c r="A96" s="5" t="s">
        <v>7</v>
      </c>
      <c r="B96" s="44" t="s">
        <v>84</v>
      </c>
      <c r="C96" s="6" t="s">
        <v>89</v>
      </c>
      <c r="D96" s="5">
        <v>81</v>
      </c>
      <c r="E96" s="31">
        <v>0.1556112022641313</v>
      </c>
      <c r="F96" s="38">
        <f t="shared" si="6"/>
        <v>841.68033961969638</v>
      </c>
      <c r="J96" s="44">
        <v>81</v>
      </c>
      <c r="K96" s="54">
        <v>0</v>
      </c>
      <c r="L96" s="17">
        <f t="shared" si="4"/>
        <v>0</v>
      </c>
      <c r="M96" s="52">
        <f t="shared" si="7"/>
        <v>0</v>
      </c>
      <c r="N96" s="18">
        <f t="shared" si="5"/>
        <v>0</v>
      </c>
      <c r="R96" s="60">
        <v>3.0448507035621599E-2</v>
      </c>
      <c r="S96" s="16">
        <v>18</v>
      </c>
      <c r="T96" s="17">
        <v>20</v>
      </c>
      <c r="U96" s="18">
        <v>0.16666666666666666</v>
      </c>
      <c r="W96" s="16">
        <v>0</v>
      </c>
      <c r="X96" s="17">
        <v>0</v>
      </c>
      <c r="Y96" s="17">
        <v>0</v>
      </c>
      <c r="Z96" s="17">
        <v>0</v>
      </c>
      <c r="AA96" s="17">
        <v>0</v>
      </c>
      <c r="AB96" s="17">
        <v>0</v>
      </c>
      <c r="AC96" s="17">
        <v>0</v>
      </c>
      <c r="AD96" s="17">
        <v>0</v>
      </c>
      <c r="AE96" s="17">
        <v>0</v>
      </c>
      <c r="AF96" s="17">
        <v>1</v>
      </c>
      <c r="AG96" s="18">
        <v>0</v>
      </c>
      <c r="AI96" s="16">
        <v>0</v>
      </c>
      <c r="AJ96" s="17">
        <v>0</v>
      </c>
      <c r="AK96" s="17">
        <v>0</v>
      </c>
      <c r="AL96" s="17">
        <v>0</v>
      </c>
      <c r="AM96" s="17">
        <v>0</v>
      </c>
      <c r="AN96" s="17">
        <v>0</v>
      </c>
      <c r="AO96" s="17">
        <v>0</v>
      </c>
      <c r="AP96" s="17">
        <v>0</v>
      </c>
      <c r="AQ96" s="17">
        <v>0</v>
      </c>
      <c r="AR96" s="17">
        <v>1</v>
      </c>
      <c r="AS96" s="17">
        <v>0</v>
      </c>
      <c r="AT96" s="17">
        <v>0</v>
      </c>
      <c r="AU96" s="17">
        <v>0</v>
      </c>
      <c r="AV96" s="17">
        <v>0</v>
      </c>
      <c r="AW96" s="17">
        <v>0</v>
      </c>
      <c r="AX96" s="17">
        <v>0</v>
      </c>
      <c r="AY96" s="17">
        <v>0</v>
      </c>
      <c r="AZ96" s="17">
        <v>0</v>
      </c>
      <c r="BA96" s="17">
        <v>0</v>
      </c>
      <c r="BB96" s="17">
        <v>0</v>
      </c>
      <c r="BC96" s="17">
        <v>0</v>
      </c>
      <c r="BD96" s="17">
        <v>0</v>
      </c>
      <c r="BE96" s="17">
        <v>0</v>
      </c>
      <c r="BF96" s="17">
        <v>0</v>
      </c>
      <c r="BG96" s="17">
        <v>0</v>
      </c>
      <c r="BH96" s="17">
        <v>0</v>
      </c>
      <c r="BI96" s="17">
        <v>0</v>
      </c>
      <c r="BJ96" s="17">
        <v>0</v>
      </c>
      <c r="BK96" s="17">
        <v>0</v>
      </c>
      <c r="BL96" s="17">
        <v>0</v>
      </c>
      <c r="BM96" s="17">
        <v>0</v>
      </c>
      <c r="BN96" s="17">
        <v>0</v>
      </c>
      <c r="BO96" s="17">
        <v>0</v>
      </c>
      <c r="BP96" s="17">
        <v>0</v>
      </c>
      <c r="BQ96" s="17">
        <v>0</v>
      </c>
      <c r="BR96" s="17">
        <v>0</v>
      </c>
      <c r="BS96" s="17">
        <v>0</v>
      </c>
      <c r="BT96" s="17">
        <v>0</v>
      </c>
      <c r="BU96" s="17">
        <v>0</v>
      </c>
      <c r="BV96" s="17">
        <v>0</v>
      </c>
      <c r="BW96" s="17">
        <v>0</v>
      </c>
      <c r="BX96" s="17">
        <v>0</v>
      </c>
      <c r="BY96" s="17">
        <v>0</v>
      </c>
      <c r="BZ96" s="17">
        <v>0</v>
      </c>
      <c r="CA96" s="17">
        <v>0</v>
      </c>
      <c r="CB96" s="17">
        <v>0</v>
      </c>
      <c r="CC96" s="17">
        <v>0</v>
      </c>
      <c r="CD96" s="17">
        <v>0</v>
      </c>
      <c r="CE96" s="17">
        <v>0</v>
      </c>
      <c r="CF96" s="17">
        <v>0</v>
      </c>
      <c r="CG96" s="17">
        <v>0</v>
      </c>
      <c r="CH96" s="17">
        <v>0</v>
      </c>
      <c r="CI96" s="17">
        <v>0</v>
      </c>
      <c r="CJ96" s="17">
        <v>0</v>
      </c>
      <c r="CK96" s="18">
        <v>0</v>
      </c>
    </row>
    <row r="97" spans="1:89">
      <c r="A97" s="5" t="s">
        <v>7</v>
      </c>
      <c r="B97" s="44" t="s">
        <v>84</v>
      </c>
      <c r="C97" s="6" t="s">
        <v>95</v>
      </c>
      <c r="D97" s="5">
        <v>82</v>
      </c>
      <c r="E97" s="31">
        <v>0.15548953512701078</v>
      </c>
      <c r="F97" s="38">
        <f t="shared" si="6"/>
        <v>823.43026905161707</v>
      </c>
      <c r="J97" s="44">
        <v>82</v>
      </c>
      <c r="K97" s="54">
        <v>0</v>
      </c>
      <c r="L97" s="17">
        <f t="shared" si="4"/>
        <v>0</v>
      </c>
      <c r="M97" s="52">
        <f t="shared" si="7"/>
        <v>0</v>
      </c>
      <c r="N97" s="18">
        <f t="shared" si="5"/>
        <v>0</v>
      </c>
      <c r="R97" s="60">
        <v>3.0326852493024099E-2</v>
      </c>
      <c r="S97" s="16">
        <v>18</v>
      </c>
      <c r="T97" s="17">
        <v>21</v>
      </c>
      <c r="U97" s="18">
        <v>0.16666666666666666</v>
      </c>
      <c r="W97" s="16">
        <v>0</v>
      </c>
      <c r="X97" s="17">
        <v>0</v>
      </c>
      <c r="Y97" s="17">
        <v>0</v>
      </c>
      <c r="Z97" s="17">
        <v>0</v>
      </c>
      <c r="AA97" s="17">
        <v>0</v>
      </c>
      <c r="AB97" s="17">
        <v>0</v>
      </c>
      <c r="AC97" s="17">
        <v>0</v>
      </c>
      <c r="AD97" s="17">
        <v>0</v>
      </c>
      <c r="AE97" s="17">
        <v>0</v>
      </c>
      <c r="AF97" s="17">
        <v>1</v>
      </c>
      <c r="AG97" s="18">
        <v>0</v>
      </c>
      <c r="AI97" s="16">
        <v>0</v>
      </c>
      <c r="AJ97" s="17">
        <v>0</v>
      </c>
      <c r="AK97" s="17">
        <v>0</v>
      </c>
      <c r="AL97" s="17">
        <v>0</v>
      </c>
      <c r="AM97" s="17">
        <v>0</v>
      </c>
      <c r="AN97" s="17">
        <v>0</v>
      </c>
      <c r="AO97" s="17">
        <v>0</v>
      </c>
      <c r="AP97" s="17">
        <v>0</v>
      </c>
      <c r="AQ97" s="17">
        <v>0</v>
      </c>
      <c r="AR97" s="17">
        <v>1</v>
      </c>
      <c r="AS97" s="17">
        <v>0</v>
      </c>
      <c r="AT97" s="17">
        <v>0</v>
      </c>
      <c r="AU97" s="17">
        <v>0</v>
      </c>
      <c r="AV97" s="17">
        <v>0</v>
      </c>
      <c r="AW97" s="17">
        <v>0</v>
      </c>
      <c r="AX97" s="17">
        <v>0</v>
      </c>
      <c r="AY97" s="17">
        <v>0</v>
      </c>
      <c r="AZ97" s="17">
        <v>0</v>
      </c>
      <c r="BA97" s="17">
        <v>0</v>
      </c>
      <c r="BB97" s="17">
        <v>0</v>
      </c>
      <c r="BC97" s="17">
        <v>0</v>
      </c>
      <c r="BD97" s="17">
        <v>0</v>
      </c>
      <c r="BE97" s="17">
        <v>0</v>
      </c>
      <c r="BF97" s="17">
        <v>0</v>
      </c>
      <c r="BG97" s="17">
        <v>0</v>
      </c>
      <c r="BH97" s="17">
        <v>0</v>
      </c>
      <c r="BI97" s="17">
        <v>0</v>
      </c>
      <c r="BJ97" s="17">
        <v>0</v>
      </c>
      <c r="BK97" s="17">
        <v>0</v>
      </c>
      <c r="BL97" s="17">
        <v>0</v>
      </c>
      <c r="BM97" s="17">
        <v>0</v>
      </c>
      <c r="BN97" s="17">
        <v>0</v>
      </c>
      <c r="BO97" s="17">
        <v>0</v>
      </c>
      <c r="BP97" s="17">
        <v>0</v>
      </c>
      <c r="BQ97" s="17">
        <v>0</v>
      </c>
      <c r="BR97" s="17">
        <v>0</v>
      </c>
      <c r="BS97" s="17">
        <v>0</v>
      </c>
      <c r="BT97" s="17">
        <v>0</v>
      </c>
      <c r="BU97" s="17">
        <v>0</v>
      </c>
      <c r="BV97" s="17">
        <v>0</v>
      </c>
      <c r="BW97" s="17">
        <v>0</v>
      </c>
      <c r="BX97" s="17">
        <v>0</v>
      </c>
      <c r="BY97" s="17">
        <v>0</v>
      </c>
      <c r="BZ97" s="17">
        <v>0</v>
      </c>
      <c r="CA97" s="17">
        <v>0</v>
      </c>
      <c r="CB97" s="17">
        <v>0</v>
      </c>
      <c r="CC97" s="17">
        <v>0</v>
      </c>
      <c r="CD97" s="17">
        <v>0</v>
      </c>
      <c r="CE97" s="17">
        <v>0</v>
      </c>
      <c r="CF97" s="17">
        <v>0</v>
      </c>
      <c r="CG97" s="17">
        <v>0</v>
      </c>
      <c r="CH97" s="17">
        <v>0</v>
      </c>
      <c r="CI97" s="17">
        <v>0</v>
      </c>
      <c r="CJ97" s="17">
        <v>0</v>
      </c>
      <c r="CK97" s="18">
        <v>0</v>
      </c>
    </row>
    <row r="98" spans="1:89">
      <c r="A98" s="5" t="s">
        <v>7</v>
      </c>
      <c r="B98" s="44" t="s">
        <v>84</v>
      </c>
      <c r="C98" s="6" t="s">
        <v>98</v>
      </c>
      <c r="D98" s="5">
        <v>83</v>
      </c>
      <c r="E98" s="31">
        <v>0.16420391918051605</v>
      </c>
      <c r="F98" s="38">
        <f t="shared" si="6"/>
        <v>2130.5878770774084</v>
      </c>
      <c r="J98" s="44">
        <v>83</v>
      </c>
      <c r="K98" s="54">
        <v>0</v>
      </c>
      <c r="L98" s="17">
        <f t="shared" si="4"/>
        <v>0</v>
      </c>
      <c r="M98" s="52">
        <f t="shared" si="7"/>
        <v>0</v>
      </c>
      <c r="N98" s="18">
        <f t="shared" si="5"/>
        <v>0</v>
      </c>
      <c r="R98" s="60">
        <v>4.4320953882087601E-2</v>
      </c>
      <c r="S98" s="16">
        <v>18</v>
      </c>
      <c r="T98" s="17">
        <v>25</v>
      </c>
      <c r="U98" s="18">
        <v>0.16666666666666666</v>
      </c>
      <c r="W98" s="16">
        <v>0</v>
      </c>
      <c r="X98" s="17">
        <v>0</v>
      </c>
      <c r="Y98" s="17">
        <v>0</v>
      </c>
      <c r="Z98" s="17">
        <v>0</v>
      </c>
      <c r="AA98" s="17">
        <v>0</v>
      </c>
      <c r="AB98" s="17">
        <v>0</v>
      </c>
      <c r="AC98" s="17">
        <v>0</v>
      </c>
      <c r="AD98" s="17">
        <v>0</v>
      </c>
      <c r="AE98" s="17">
        <v>0</v>
      </c>
      <c r="AF98" s="17">
        <v>1</v>
      </c>
      <c r="AG98" s="18">
        <v>0</v>
      </c>
      <c r="AI98" s="16">
        <v>0</v>
      </c>
      <c r="AJ98" s="17">
        <v>0</v>
      </c>
      <c r="AK98" s="17">
        <v>0</v>
      </c>
      <c r="AL98" s="17">
        <v>0</v>
      </c>
      <c r="AM98" s="17">
        <v>0</v>
      </c>
      <c r="AN98" s="17">
        <v>0</v>
      </c>
      <c r="AO98" s="17">
        <v>0</v>
      </c>
      <c r="AP98" s="17">
        <v>0</v>
      </c>
      <c r="AQ98" s="17">
        <v>0</v>
      </c>
      <c r="AR98" s="17">
        <v>1</v>
      </c>
      <c r="AS98" s="17">
        <v>0</v>
      </c>
      <c r="AT98" s="17">
        <v>0</v>
      </c>
      <c r="AU98" s="17">
        <v>0</v>
      </c>
      <c r="AV98" s="17">
        <v>0</v>
      </c>
      <c r="AW98" s="17">
        <v>0</v>
      </c>
      <c r="AX98" s="17">
        <v>0</v>
      </c>
      <c r="AY98" s="17">
        <v>0</v>
      </c>
      <c r="AZ98" s="17">
        <v>0</v>
      </c>
      <c r="BA98" s="17">
        <v>0</v>
      </c>
      <c r="BB98" s="17">
        <v>0</v>
      </c>
      <c r="BC98" s="17">
        <v>0</v>
      </c>
      <c r="BD98" s="17">
        <v>0</v>
      </c>
      <c r="BE98" s="17">
        <v>0</v>
      </c>
      <c r="BF98" s="17">
        <v>0</v>
      </c>
      <c r="BG98" s="17">
        <v>0</v>
      </c>
      <c r="BH98" s="17">
        <v>0</v>
      </c>
      <c r="BI98" s="17">
        <v>0</v>
      </c>
      <c r="BJ98" s="17">
        <v>0</v>
      </c>
      <c r="BK98" s="17">
        <v>0</v>
      </c>
      <c r="BL98" s="17">
        <v>0</v>
      </c>
      <c r="BM98" s="17">
        <v>0</v>
      </c>
      <c r="BN98" s="17">
        <v>0</v>
      </c>
      <c r="BO98" s="17">
        <v>0</v>
      </c>
      <c r="BP98" s="17">
        <v>0</v>
      </c>
      <c r="BQ98" s="17">
        <v>0</v>
      </c>
      <c r="BR98" s="17">
        <v>0</v>
      </c>
      <c r="BS98" s="17">
        <v>0</v>
      </c>
      <c r="BT98" s="17">
        <v>0</v>
      </c>
      <c r="BU98" s="17">
        <v>0</v>
      </c>
      <c r="BV98" s="17">
        <v>0</v>
      </c>
      <c r="BW98" s="17">
        <v>0</v>
      </c>
      <c r="BX98" s="17">
        <v>0</v>
      </c>
      <c r="BY98" s="17">
        <v>0</v>
      </c>
      <c r="BZ98" s="17">
        <v>0</v>
      </c>
      <c r="CA98" s="17">
        <v>0</v>
      </c>
      <c r="CB98" s="17">
        <v>0</v>
      </c>
      <c r="CC98" s="17">
        <v>0</v>
      </c>
      <c r="CD98" s="17">
        <v>0</v>
      </c>
      <c r="CE98" s="17">
        <v>0</v>
      </c>
      <c r="CF98" s="17">
        <v>0</v>
      </c>
      <c r="CG98" s="17">
        <v>0</v>
      </c>
      <c r="CH98" s="17">
        <v>0</v>
      </c>
      <c r="CI98" s="17">
        <v>0</v>
      </c>
      <c r="CJ98" s="17">
        <v>0</v>
      </c>
      <c r="CK98" s="18">
        <v>0</v>
      </c>
    </row>
    <row r="99" spans="1:89">
      <c r="A99" s="5" t="s">
        <v>7</v>
      </c>
      <c r="B99" s="44" t="s">
        <v>84</v>
      </c>
      <c r="C99" s="6" t="s">
        <v>99</v>
      </c>
      <c r="D99" s="5">
        <v>84</v>
      </c>
      <c r="E99" s="31">
        <v>0.15690630736568223</v>
      </c>
      <c r="F99" s="38">
        <f t="shared" si="6"/>
        <v>1035.9461048523351</v>
      </c>
      <c r="J99" s="44">
        <v>84</v>
      </c>
      <c r="K99" s="54">
        <v>0</v>
      </c>
      <c r="L99" s="17">
        <f t="shared" si="4"/>
        <v>0</v>
      </c>
      <c r="M99" s="52">
        <f t="shared" si="7"/>
        <v>0</v>
      </c>
      <c r="N99" s="18">
        <f t="shared" si="5"/>
        <v>0</v>
      </c>
      <c r="R99" s="60">
        <v>3.1745183870496602E-2</v>
      </c>
      <c r="S99" s="16">
        <v>18</v>
      </c>
      <c r="T99" s="17">
        <v>72</v>
      </c>
      <c r="U99" s="18">
        <v>0.16666666666666666</v>
      </c>
      <c r="W99" s="16">
        <v>0</v>
      </c>
      <c r="X99" s="17">
        <v>0</v>
      </c>
      <c r="Y99" s="17">
        <v>0</v>
      </c>
      <c r="Z99" s="17">
        <v>0</v>
      </c>
      <c r="AA99" s="17">
        <v>0</v>
      </c>
      <c r="AB99" s="17">
        <v>0</v>
      </c>
      <c r="AC99" s="17">
        <v>0</v>
      </c>
      <c r="AD99" s="17">
        <v>0</v>
      </c>
      <c r="AE99" s="17">
        <v>0</v>
      </c>
      <c r="AF99" s="17">
        <v>1</v>
      </c>
      <c r="AG99" s="18">
        <v>0</v>
      </c>
      <c r="AI99" s="16">
        <v>0</v>
      </c>
      <c r="AJ99" s="17">
        <v>0</v>
      </c>
      <c r="AK99" s="17">
        <v>0</v>
      </c>
      <c r="AL99" s="17">
        <v>0</v>
      </c>
      <c r="AM99" s="17">
        <v>0</v>
      </c>
      <c r="AN99" s="17">
        <v>0</v>
      </c>
      <c r="AO99" s="17">
        <v>0</v>
      </c>
      <c r="AP99" s="17">
        <v>0</v>
      </c>
      <c r="AQ99" s="17">
        <v>0</v>
      </c>
      <c r="AR99" s="17">
        <v>1</v>
      </c>
      <c r="AS99" s="17">
        <v>0</v>
      </c>
      <c r="AT99" s="17">
        <v>0</v>
      </c>
      <c r="AU99" s="17">
        <v>0</v>
      </c>
      <c r="AV99" s="17">
        <v>0</v>
      </c>
      <c r="AW99" s="17">
        <v>0</v>
      </c>
      <c r="AX99" s="17">
        <v>0</v>
      </c>
      <c r="AY99" s="17">
        <v>0</v>
      </c>
      <c r="AZ99" s="17">
        <v>0</v>
      </c>
      <c r="BA99" s="17">
        <v>0</v>
      </c>
      <c r="BB99" s="17">
        <v>0</v>
      </c>
      <c r="BC99" s="17">
        <v>0</v>
      </c>
      <c r="BD99" s="17">
        <v>0</v>
      </c>
      <c r="BE99" s="17">
        <v>0</v>
      </c>
      <c r="BF99" s="17">
        <v>0</v>
      </c>
      <c r="BG99" s="17">
        <v>0</v>
      </c>
      <c r="BH99" s="17">
        <v>0</v>
      </c>
      <c r="BI99" s="17">
        <v>0</v>
      </c>
      <c r="BJ99" s="17">
        <v>0</v>
      </c>
      <c r="BK99" s="17">
        <v>0</v>
      </c>
      <c r="BL99" s="17">
        <v>0</v>
      </c>
      <c r="BM99" s="17">
        <v>0</v>
      </c>
      <c r="BN99" s="17">
        <v>0</v>
      </c>
      <c r="BO99" s="17">
        <v>0</v>
      </c>
      <c r="BP99" s="17">
        <v>0</v>
      </c>
      <c r="BQ99" s="17">
        <v>0</v>
      </c>
      <c r="BR99" s="17">
        <v>0</v>
      </c>
      <c r="BS99" s="17">
        <v>0</v>
      </c>
      <c r="BT99" s="17">
        <v>0</v>
      </c>
      <c r="BU99" s="17">
        <v>0</v>
      </c>
      <c r="BV99" s="17">
        <v>0</v>
      </c>
      <c r="BW99" s="17">
        <v>0</v>
      </c>
      <c r="BX99" s="17">
        <v>0</v>
      </c>
      <c r="BY99" s="17">
        <v>0</v>
      </c>
      <c r="BZ99" s="17">
        <v>0</v>
      </c>
      <c r="CA99" s="17">
        <v>0</v>
      </c>
      <c r="CB99" s="17">
        <v>0</v>
      </c>
      <c r="CC99" s="17">
        <v>0</v>
      </c>
      <c r="CD99" s="17">
        <v>0</v>
      </c>
      <c r="CE99" s="17">
        <v>0</v>
      </c>
      <c r="CF99" s="17">
        <v>0</v>
      </c>
      <c r="CG99" s="17">
        <v>0</v>
      </c>
      <c r="CH99" s="17">
        <v>0</v>
      </c>
      <c r="CI99" s="17">
        <v>0</v>
      </c>
      <c r="CJ99" s="17">
        <v>0</v>
      </c>
      <c r="CK99" s="18">
        <v>0</v>
      </c>
    </row>
    <row r="100" spans="1:89">
      <c r="A100" s="5" t="s">
        <v>7</v>
      </c>
      <c r="B100" s="44" t="s">
        <v>84</v>
      </c>
      <c r="C100" s="6" t="s">
        <v>100</v>
      </c>
      <c r="D100" s="5">
        <v>85</v>
      </c>
      <c r="E100" s="31">
        <v>0.15959980224487913</v>
      </c>
      <c r="F100" s="38">
        <f t="shared" si="6"/>
        <v>1439.9703367318702</v>
      </c>
      <c r="J100" s="44">
        <v>85</v>
      </c>
      <c r="K100" s="54">
        <v>0</v>
      </c>
      <c r="L100" s="17">
        <f t="shared" si="4"/>
        <v>0</v>
      </c>
      <c r="M100" s="52">
        <f t="shared" si="7"/>
        <v>0</v>
      </c>
      <c r="N100" s="18">
        <f t="shared" si="5"/>
        <v>0</v>
      </c>
      <c r="R100" s="60">
        <v>3.4940916218565397E-2</v>
      </c>
      <c r="S100" s="16">
        <v>18</v>
      </c>
      <c r="T100" s="17">
        <v>73</v>
      </c>
      <c r="U100" s="18">
        <v>0.16666666666666666</v>
      </c>
      <c r="W100" s="16">
        <v>0</v>
      </c>
      <c r="X100" s="17">
        <v>0</v>
      </c>
      <c r="Y100" s="17">
        <v>0</v>
      </c>
      <c r="Z100" s="17">
        <v>0</v>
      </c>
      <c r="AA100" s="17">
        <v>0</v>
      </c>
      <c r="AB100" s="17">
        <v>0</v>
      </c>
      <c r="AC100" s="17">
        <v>0</v>
      </c>
      <c r="AD100" s="17">
        <v>0</v>
      </c>
      <c r="AE100" s="17">
        <v>0</v>
      </c>
      <c r="AF100" s="17">
        <v>1</v>
      </c>
      <c r="AG100" s="18">
        <v>0</v>
      </c>
      <c r="AI100" s="16">
        <v>0</v>
      </c>
      <c r="AJ100" s="17">
        <v>0</v>
      </c>
      <c r="AK100" s="17">
        <v>0</v>
      </c>
      <c r="AL100" s="17">
        <v>0</v>
      </c>
      <c r="AM100" s="17">
        <v>0</v>
      </c>
      <c r="AN100" s="17">
        <v>0</v>
      </c>
      <c r="AO100" s="17">
        <v>0</v>
      </c>
      <c r="AP100" s="17">
        <v>0</v>
      </c>
      <c r="AQ100" s="17">
        <v>0</v>
      </c>
      <c r="AR100" s="17">
        <v>1</v>
      </c>
      <c r="AS100" s="17">
        <v>0</v>
      </c>
      <c r="AT100" s="17">
        <v>0</v>
      </c>
      <c r="AU100" s="17">
        <v>0</v>
      </c>
      <c r="AV100" s="17">
        <v>0</v>
      </c>
      <c r="AW100" s="17">
        <v>0</v>
      </c>
      <c r="AX100" s="17">
        <v>0</v>
      </c>
      <c r="AY100" s="17">
        <v>0</v>
      </c>
      <c r="AZ100" s="17">
        <v>0</v>
      </c>
      <c r="BA100" s="17">
        <v>0</v>
      </c>
      <c r="BB100" s="17">
        <v>0</v>
      </c>
      <c r="BC100" s="17">
        <v>0</v>
      </c>
      <c r="BD100" s="17">
        <v>0</v>
      </c>
      <c r="BE100" s="17">
        <v>0</v>
      </c>
      <c r="BF100" s="17">
        <v>0</v>
      </c>
      <c r="BG100" s="17">
        <v>0</v>
      </c>
      <c r="BH100" s="17">
        <v>0</v>
      </c>
      <c r="BI100" s="17">
        <v>0</v>
      </c>
      <c r="BJ100" s="17">
        <v>0</v>
      </c>
      <c r="BK100" s="17">
        <v>0</v>
      </c>
      <c r="BL100" s="17">
        <v>0</v>
      </c>
      <c r="BM100" s="17">
        <v>0</v>
      </c>
      <c r="BN100" s="17">
        <v>0</v>
      </c>
      <c r="BO100" s="17">
        <v>0</v>
      </c>
      <c r="BP100" s="17">
        <v>0</v>
      </c>
      <c r="BQ100" s="17">
        <v>0</v>
      </c>
      <c r="BR100" s="17">
        <v>0</v>
      </c>
      <c r="BS100" s="17">
        <v>0</v>
      </c>
      <c r="BT100" s="17">
        <v>0</v>
      </c>
      <c r="BU100" s="17">
        <v>0</v>
      </c>
      <c r="BV100" s="17">
        <v>0</v>
      </c>
      <c r="BW100" s="17">
        <v>0</v>
      </c>
      <c r="BX100" s="17">
        <v>0</v>
      </c>
      <c r="BY100" s="17">
        <v>0</v>
      </c>
      <c r="BZ100" s="17">
        <v>0</v>
      </c>
      <c r="CA100" s="17">
        <v>0</v>
      </c>
      <c r="CB100" s="17">
        <v>0</v>
      </c>
      <c r="CC100" s="17">
        <v>0</v>
      </c>
      <c r="CD100" s="17">
        <v>0</v>
      </c>
      <c r="CE100" s="17">
        <v>0</v>
      </c>
      <c r="CF100" s="17">
        <v>0</v>
      </c>
      <c r="CG100" s="17">
        <v>0</v>
      </c>
      <c r="CH100" s="17">
        <v>0</v>
      </c>
      <c r="CI100" s="17">
        <v>0</v>
      </c>
      <c r="CJ100" s="17">
        <v>0</v>
      </c>
      <c r="CK100" s="18">
        <v>0</v>
      </c>
    </row>
    <row r="101" spans="1:89">
      <c r="A101" s="5" t="s">
        <v>7</v>
      </c>
      <c r="B101" s="44" t="s">
        <v>84</v>
      </c>
      <c r="C101" s="6" t="s">
        <v>101</v>
      </c>
      <c r="D101" s="5">
        <v>86</v>
      </c>
      <c r="E101" s="31">
        <v>0.15513728985106581</v>
      </c>
      <c r="F101" s="38">
        <f t="shared" si="6"/>
        <v>770.59347765987263</v>
      </c>
      <c r="J101" s="44">
        <v>86</v>
      </c>
      <c r="K101" s="54">
        <v>0</v>
      </c>
      <c r="L101" s="17">
        <f t="shared" si="4"/>
        <v>0</v>
      </c>
      <c r="M101" s="52">
        <f t="shared" si="7"/>
        <v>0</v>
      </c>
      <c r="N101" s="18">
        <f t="shared" si="5"/>
        <v>0</v>
      </c>
      <c r="R101" s="60">
        <v>2.99745873690653E-2</v>
      </c>
      <c r="S101" s="16">
        <v>19</v>
      </c>
      <c r="T101" s="17">
        <v>15</v>
      </c>
      <c r="U101" s="18">
        <v>0.1111111111111111</v>
      </c>
      <c r="W101" s="16">
        <v>0</v>
      </c>
      <c r="X101" s="17">
        <v>0</v>
      </c>
      <c r="Y101" s="17">
        <v>0</v>
      </c>
      <c r="Z101" s="17">
        <v>0</v>
      </c>
      <c r="AA101" s="17">
        <v>0</v>
      </c>
      <c r="AB101" s="17">
        <v>0</v>
      </c>
      <c r="AC101" s="17">
        <v>0</v>
      </c>
      <c r="AD101" s="17">
        <v>0</v>
      </c>
      <c r="AE101" s="17">
        <v>0</v>
      </c>
      <c r="AF101" s="17">
        <v>1</v>
      </c>
      <c r="AG101" s="18">
        <v>0</v>
      </c>
      <c r="AI101" s="16">
        <v>0</v>
      </c>
      <c r="AJ101" s="17">
        <v>0</v>
      </c>
      <c r="AK101" s="17">
        <v>0</v>
      </c>
      <c r="AL101" s="17">
        <v>0</v>
      </c>
      <c r="AM101" s="17">
        <v>0</v>
      </c>
      <c r="AN101" s="17">
        <v>0</v>
      </c>
      <c r="AO101" s="17">
        <v>0</v>
      </c>
      <c r="AP101" s="17">
        <v>0</v>
      </c>
      <c r="AQ101" s="17">
        <v>0</v>
      </c>
      <c r="AR101" s="17">
        <v>1</v>
      </c>
      <c r="AS101" s="17">
        <v>0</v>
      </c>
      <c r="AT101" s="17">
        <v>0</v>
      </c>
      <c r="AU101" s="17">
        <v>0</v>
      </c>
      <c r="AV101" s="17">
        <v>0</v>
      </c>
      <c r="AW101" s="17">
        <v>0</v>
      </c>
      <c r="AX101" s="17">
        <v>0</v>
      </c>
      <c r="AY101" s="17">
        <v>0</v>
      </c>
      <c r="AZ101" s="17">
        <v>0</v>
      </c>
      <c r="BA101" s="17">
        <v>0</v>
      </c>
      <c r="BB101" s="17">
        <v>0</v>
      </c>
      <c r="BC101" s="17">
        <v>0</v>
      </c>
      <c r="BD101" s="17">
        <v>0</v>
      </c>
      <c r="BE101" s="17">
        <v>0</v>
      </c>
      <c r="BF101" s="17">
        <v>0</v>
      </c>
      <c r="BG101" s="17">
        <v>0</v>
      </c>
      <c r="BH101" s="17">
        <v>0</v>
      </c>
      <c r="BI101" s="17">
        <v>0</v>
      </c>
      <c r="BJ101" s="17">
        <v>0</v>
      </c>
      <c r="BK101" s="17">
        <v>0</v>
      </c>
      <c r="BL101" s="17">
        <v>0</v>
      </c>
      <c r="BM101" s="17">
        <v>0</v>
      </c>
      <c r="BN101" s="17">
        <v>0</v>
      </c>
      <c r="BO101" s="17">
        <v>0</v>
      </c>
      <c r="BP101" s="17">
        <v>0</v>
      </c>
      <c r="BQ101" s="17">
        <v>0</v>
      </c>
      <c r="BR101" s="17">
        <v>0</v>
      </c>
      <c r="BS101" s="17">
        <v>0</v>
      </c>
      <c r="BT101" s="17">
        <v>0</v>
      </c>
      <c r="BU101" s="17">
        <v>0</v>
      </c>
      <c r="BV101" s="17">
        <v>0</v>
      </c>
      <c r="BW101" s="17">
        <v>0</v>
      </c>
      <c r="BX101" s="17">
        <v>0</v>
      </c>
      <c r="BY101" s="17">
        <v>0</v>
      </c>
      <c r="BZ101" s="17">
        <v>0</v>
      </c>
      <c r="CA101" s="17">
        <v>0</v>
      </c>
      <c r="CB101" s="17">
        <v>0</v>
      </c>
      <c r="CC101" s="17">
        <v>0</v>
      </c>
      <c r="CD101" s="17">
        <v>0</v>
      </c>
      <c r="CE101" s="17">
        <v>0</v>
      </c>
      <c r="CF101" s="17">
        <v>0</v>
      </c>
      <c r="CG101" s="17">
        <v>0</v>
      </c>
      <c r="CH101" s="17">
        <v>0</v>
      </c>
      <c r="CI101" s="17">
        <v>0</v>
      </c>
      <c r="CJ101" s="17">
        <v>0</v>
      </c>
      <c r="CK101" s="18">
        <v>0</v>
      </c>
    </row>
    <row r="102" spans="1:89">
      <c r="A102" s="5" t="s">
        <v>7</v>
      </c>
      <c r="B102" s="44" t="s">
        <v>84</v>
      </c>
      <c r="C102" s="6" t="s">
        <v>102</v>
      </c>
      <c r="D102" s="5">
        <v>87</v>
      </c>
      <c r="E102" s="31">
        <v>0.1544126724676432</v>
      </c>
      <c r="F102" s="38">
        <f t="shared" si="6"/>
        <v>661.90087014648134</v>
      </c>
      <c r="J102" s="44">
        <v>87</v>
      </c>
      <c r="K102" s="54">
        <v>0</v>
      </c>
      <c r="L102" s="17">
        <f t="shared" si="4"/>
        <v>0</v>
      </c>
      <c r="M102" s="52">
        <f t="shared" si="7"/>
        <v>0</v>
      </c>
      <c r="N102" s="18">
        <f t="shared" si="5"/>
        <v>0</v>
      </c>
      <c r="R102" s="60">
        <v>2.92499181223278E-2</v>
      </c>
      <c r="S102" s="16">
        <v>19</v>
      </c>
      <c r="T102" s="17">
        <v>20</v>
      </c>
      <c r="U102" s="18">
        <v>0.1111111111111111</v>
      </c>
      <c r="W102" s="16">
        <v>0</v>
      </c>
      <c r="X102" s="17">
        <v>0</v>
      </c>
      <c r="Y102" s="17">
        <v>0</v>
      </c>
      <c r="Z102" s="17">
        <v>0</v>
      </c>
      <c r="AA102" s="17">
        <v>0</v>
      </c>
      <c r="AB102" s="17">
        <v>0</v>
      </c>
      <c r="AC102" s="17">
        <v>0</v>
      </c>
      <c r="AD102" s="17">
        <v>0</v>
      </c>
      <c r="AE102" s="17">
        <v>0</v>
      </c>
      <c r="AF102" s="17">
        <v>1</v>
      </c>
      <c r="AG102" s="18">
        <v>0</v>
      </c>
      <c r="AI102" s="16">
        <v>0</v>
      </c>
      <c r="AJ102" s="17">
        <v>0</v>
      </c>
      <c r="AK102" s="17">
        <v>0</v>
      </c>
      <c r="AL102" s="17">
        <v>0</v>
      </c>
      <c r="AM102" s="17">
        <v>0</v>
      </c>
      <c r="AN102" s="17">
        <v>0</v>
      </c>
      <c r="AO102" s="17">
        <v>0</v>
      </c>
      <c r="AP102" s="17">
        <v>0</v>
      </c>
      <c r="AQ102" s="17">
        <v>0</v>
      </c>
      <c r="AR102" s="17">
        <v>1</v>
      </c>
      <c r="AS102" s="17">
        <v>0</v>
      </c>
      <c r="AT102" s="17">
        <v>0</v>
      </c>
      <c r="AU102" s="17">
        <v>0</v>
      </c>
      <c r="AV102" s="17">
        <v>0</v>
      </c>
      <c r="AW102" s="17">
        <v>0</v>
      </c>
      <c r="AX102" s="17">
        <v>0</v>
      </c>
      <c r="AY102" s="17">
        <v>0</v>
      </c>
      <c r="AZ102" s="17">
        <v>0</v>
      </c>
      <c r="BA102" s="17">
        <v>0</v>
      </c>
      <c r="BB102" s="17">
        <v>0</v>
      </c>
      <c r="BC102" s="17">
        <v>0</v>
      </c>
      <c r="BD102" s="17">
        <v>0</v>
      </c>
      <c r="BE102" s="17">
        <v>0</v>
      </c>
      <c r="BF102" s="17">
        <v>0</v>
      </c>
      <c r="BG102" s="17">
        <v>0</v>
      </c>
      <c r="BH102" s="17">
        <v>0</v>
      </c>
      <c r="BI102" s="17">
        <v>0</v>
      </c>
      <c r="BJ102" s="17">
        <v>0</v>
      </c>
      <c r="BK102" s="17">
        <v>0</v>
      </c>
      <c r="BL102" s="17">
        <v>0</v>
      </c>
      <c r="BM102" s="17">
        <v>0</v>
      </c>
      <c r="BN102" s="17">
        <v>0</v>
      </c>
      <c r="BO102" s="17">
        <v>0</v>
      </c>
      <c r="BP102" s="17">
        <v>0</v>
      </c>
      <c r="BQ102" s="17">
        <v>0</v>
      </c>
      <c r="BR102" s="17">
        <v>0</v>
      </c>
      <c r="BS102" s="17">
        <v>0</v>
      </c>
      <c r="BT102" s="17">
        <v>0</v>
      </c>
      <c r="BU102" s="17">
        <v>0</v>
      </c>
      <c r="BV102" s="17">
        <v>0</v>
      </c>
      <c r="BW102" s="17">
        <v>0</v>
      </c>
      <c r="BX102" s="17">
        <v>0</v>
      </c>
      <c r="BY102" s="17">
        <v>0</v>
      </c>
      <c r="BZ102" s="17">
        <v>0</v>
      </c>
      <c r="CA102" s="17">
        <v>0</v>
      </c>
      <c r="CB102" s="17">
        <v>0</v>
      </c>
      <c r="CC102" s="17">
        <v>0</v>
      </c>
      <c r="CD102" s="17">
        <v>0</v>
      </c>
      <c r="CE102" s="17">
        <v>0</v>
      </c>
      <c r="CF102" s="17">
        <v>0</v>
      </c>
      <c r="CG102" s="17">
        <v>0</v>
      </c>
      <c r="CH102" s="17">
        <v>0</v>
      </c>
      <c r="CI102" s="17">
        <v>0</v>
      </c>
      <c r="CJ102" s="17">
        <v>0</v>
      </c>
      <c r="CK102" s="18">
        <v>0</v>
      </c>
    </row>
    <row r="103" spans="1:89">
      <c r="A103" s="5" t="s">
        <v>7</v>
      </c>
      <c r="B103" s="44" t="s">
        <v>84</v>
      </c>
      <c r="C103" s="6" t="s">
        <v>103</v>
      </c>
      <c r="D103" s="5">
        <v>88</v>
      </c>
      <c r="E103" s="31">
        <v>0.15419132132184218</v>
      </c>
      <c r="F103" s="38">
        <f t="shared" si="6"/>
        <v>628.69819827632841</v>
      </c>
      <c r="J103" s="44">
        <v>88</v>
      </c>
      <c r="K103" s="54">
        <v>0</v>
      </c>
      <c r="L103" s="17">
        <f t="shared" si="4"/>
        <v>0</v>
      </c>
      <c r="M103" s="52">
        <f t="shared" si="7"/>
        <v>0</v>
      </c>
      <c r="N103" s="18">
        <f t="shared" si="5"/>
        <v>0</v>
      </c>
      <c r="R103" s="60">
        <v>2.90287098002679E-2</v>
      </c>
      <c r="S103" s="16">
        <v>19</v>
      </c>
      <c r="T103" s="17">
        <v>21</v>
      </c>
      <c r="U103" s="18">
        <v>0.1111111111111111</v>
      </c>
      <c r="W103" s="16">
        <v>0</v>
      </c>
      <c r="X103" s="17">
        <v>0</v>
      </c>
      <c r="Y103" s="17">
        <v>0</v>
      </c>
      <c r="Z103" s="17">
        <v>0</v>
      </c>
      <c r="AA103" s="17">
        <v>0</v>
      </c>
      <c r="AB103" s="17">
        <v>0</v>
      </c>
      <c r="AC103" s="17">
        <v>0</v>
      </c>
      <c r="AD103" s="17">
        <v>0</v>
      </c>
      <c r="AE103" s="17">
        <v>0</v>
      </c>
      <c r="AF103" s="17">
        <v>1</v>
      </c>
      <c r="AG103" s="18">
        <v>0</v>
      </c>
      <c r="AI103" s="16">
        <v>0</v>
      </c>
      <c r="AJ103" s="17">
        <v>0</v>
      </c>
      <c r="AK103" s="17">
        <v>0</v>
      </c>
      <c r="AL103" s="17">
        <v>0</v>
      </c>
      <c r="AM103" s="17">
        <v>0</v>
      </c>
      <c r="AN103" s="17">
        <v>0</v>
      </c>
      <c r="AO103" s="17">
        <v>0</v>
      </c>
      <c r="AP103" s="17">
        <v>0</v>
      </c>
      <c r="AQ103" s="17">
        <v>0</v>
      </c>
      <c r="AR103" s="17">
        <v>1</v>
      </c>
      <c r="AS103" s="17">
        <v>0</v>
      </c>
      <c r="AT103" s="17">
        <v>0</v>
      </c>
      <c r="AU103" s="17">
        <v>0</v>
      </c>
      <c r="AV103" s="17">
        <v>0</v>
      </c>
      <c r="AW103" s="17">
        <v>0</v>
      </c>
      <c r="AX103" s="17">
        <v>0</v>
      </c>
      <c r="AY103" s="17">
        <v>0</v>
      </c>
      <c r="AZ103" s="17">
        <v>0</v>
      </c>
      <c r="BA103" s="17">
        <v>0</v>
      </c>
      <c r="BB103" s="17">
        <v>0</v>
      </c>
      <c r="BC103" s="17">
        <v>0</v>
      </c>
      <c r="BD103" s="17">
        <v>0</v>
      </c>
      <c r="BE103" s="17">
        <v>0</v>
      </c>
      <c r="BF103" s="17">
        <v>0</v>
      </c>
      <c r="BG103" s="17">
        <v>0</v>
      </c>
      <c r="BH103" s="17">
        <v>0</v>
      </c>
      <c r="BI103" s="17">
        <v>0</v>
      </c>
      <c r="BJ103" s="17">
        <v>0</v>
      </c>
      <c r="BK103" s="17">
        <v>0</v>
      </c>
      <c r="BL103" s="17">
        <v>0</v>
      </c>
      <c r="BM103" s="17">
        <v>0</v>
      </c>
      <c r="BN103" s="17">
        <v>0</v>
      </c>
      <c r="BO103" s="17">
        <v>0</v>
      </c>
      <c r="BP103" s="17">
        <v>0</v>
      </c>
      <c r="BQ103" s="17">
        <v>0</v>
      </c>
      <c r="BR103" s="17">
        <v>0</v>
      </c>
      <c r="BS103" s="17">
        <v>0</v>
      </c>
      <c r="BT103" s="17">
        <v>0</v>
      </c>
      <c r="BU103" s="17">
        <v>0</v>
      </c>
      <c r="BV103" s="17">
        <v>0</v>
      </c>
      <c r="BW103" s="17">
        <v>0</v>
      </c>
      <c r="BX103" s="17">
        <v>0</v>
      </c>
      <c r="BY103" s="17">
        <v>0</v>
      </c>
      <c r="BZ103" s="17">
        <v>0</v>
      </c>
      <c r="CA103" s="17">
        <v>0</v>
      </c>
      <c r="CB103" s="17">
        <v>0</v>
      </c>
      <c r="CC103" s="17">
        <v>0</v>
      </c>
      <c r="CD103" s="17">
        <v>0</v>
      </c>
      <c r="CE103" s="17">
        <v>0</v>
      </c>
      <c r="CF103" s="17">
        <v>0</v>
      </c>
      <c r="CG103" s="17">
        <v>0</v>
      </c>
      <c r="CH103" s="17">
        <v>0</v>
      </c>
      <c r="CI103" s="17">
        <v>0</v>
      </c>
      <c r="CJ103" s="17">
        <v>0</v>
      </c>
      <c r="CK103" s="18">
        <v>0</v>
      </c>
    </row>
    <row r="104" spans="1:89">
      <c r="A104" s="5" t="s">
        <v>7</v>
      </c>
      <c r="B104" s="44" t="s">
        <v>84</v>
      </c>
      <c r="C104" s="6" t="s">
        <v>104</v>
      </c>
      <c r="D104" s="5">
        <v>89</v>
      </c>
      <c r="E104" s="31">
        <v>0.1550040300078831</v>
      </c>
      <c r="F104" s="38">
        <f t="shared" si="6"/>
        <v>750.60450118246547</v>
      </c>
      <c r="J104" s="44">
        <v>89</v>
      </c>
      <c r="K104" s="54">
        <v>0</v>
      </c>
      <c r="L104" s="17">
        <f t="shared" si="4"/>
        <v>0</v>
      </c>
      <c r="M104" s="52">
        <f t="shared" si="7"/>
        <v>0</v>
      </c>
      <c r="N104" s="18">
        <f t="shared" si="5"/>
        <v>0</v>
      </c>
      <c r="R104" s="60">
        <v>2.9841269893253902E-2</v>
      </c>
      <c r="S104" s="16">
        <v>19</v>
      </c>
      <c r="T104" s="17">
        <v>23</v>
      </c>
      <c r="U104" s="18">
        <v>0.1111111111111111</v>
      </c>
      <c r="W104" s="16">
        <v>0</v>
      </c>
      <c r="X104" s="17">
        <v>0</v>
      </c>
      <c r="Y104" s="17">
        <v>0</v>
      </c>
      <c r="Z104" s="17">
        <v>0</v>
      </c>
      <c r="AA104" s="17">
        <v>0</v>
      </c>
      <c r="AB104" s="17">
        <v>0</v>
      </c>
      <c r="AC104" s="17">
        <v>0</v>
      </c>
      <c r="AD104" s="17">
        <v>0</v>
      </c>
      <c r="AE104" s="17">
        <v>0</v>
      </c>
      <c r="AF104" s="17">
        <v>1</v>
      </c>
      <c r="AG104" s="18">
        <v>0</v>
      </c>
      <c r="AI104" s="16">
        <v>0</v>
      </c>
      <c r="AJ104" s="17">
        <v>0</v>
      </c>
      <c r="AK104" s="17">
        <v>0</v>
      </c>
      <c r="AL104" s="17">
        <v>0</v>
      </c>
      <c r="AM104" s="17">
        <v>0</v>
      </c>
      <c r="AN104" s="17">
        <v>0</v>
      </c>
      <c r="AO104" s="17">
        <v>0</v>
      </c>
      <c r="AP104" s="17">
        <v>0</v>
      </c>
      <c r="AQ104" s="17">
        <v>0</v>
      </c>
      <c r="AR104" s="17">
        <v>1</v>
      </c>
      <c r="AS104" s="17">
        <v>0</v>
      </c>
      <c r="AT104" s="17">
        <v>0</v>
      </c>
      <c r="AU104" s="17">
        <v>0</v>
      </c>
      <c r="AV104" s="17">
        <v>0</v>
      </c>
      <c r="AW104" s="17">
        <v>0</v>
      </c>
      <c r="AX104" s="17">
        <v>0</v>
      </c>
      <c r="AY104" s="17">
        <v>0</v>
      </c>
      <c r="AZ104" s="17">
        <v>0</v>
      </c>
      <c r="BA104" s="17">
        <v>0</v>
      </c>
      <c r="BB104" s="17">
        <v>0</v>
      </c>
      <c r="BC104" s="17">
        <v>0</v>
      </c>
      <c r="BD104" s="17">
        <v>0</v>
      </c>
      <c r="BE104" s="17">
        <v>0</v>
      </c>
      <c r="BF104" s="17">
        <v>0</v>
      </c>
      <c r="BG104" s="17">
        <v>0</v>
      </c>
      <c r="BH104" s="17">
        <v>0</v>
      </c>
      <c r="BI104" s="17">
        <v>0</v>
      </c>
      <c r="BJ104" s="17">
        <v>0</v>
      </c>
      <c r="BK104" s="17">
        <v>0</v>
      </c>
      <c r="BL104" s="17">
        <v>0</v>
      </c>
      <c r="BM104" s="17">
        <v>0</v>
      </c>
      <c r="BN104" s="17">
        <v>0</v>
      </c>
      <c r="BO104" s="17">
        <v>0</v>
      </c>
      <c r="BP104" s="17">
        <v>0</v>
      </c>
      <c r="BQ104" s="17">
        <v>0</v>
      </c>
      <c r="BR104" s="17">
        <v>0</v>
      </c>
      <c r="BS104" s="17">
        <v>0</v>
      </c>
      <c r="BT104" s="17">
        <v>0</v>
      </c>
      <c r="BU104" s="17">
        <v>0</v>
      </c>
      <c r="BV104" s="17">
        <v>0</v>
      </c>
      <c r="BW104" s="17">
        <v>0</v>
      </c>
      <c r="BX104" s="17">
        <v>0</v>
      </c>
      <c r="BY104" s="17">
        <v>0</v>
      </c>
      <c r="BZ104" s="17">
        <v>0</v>
      </c>
      <c r="CA104" s="17">
        <v>0</v>
      </c>
      <c r="CB104" s="17">
        <v>0</v>
      </c>
      <c r="CC104" s="17">
        <v>0</v>
      </c>
      <c r="CD104" s="17">
        <v>0</v>
      </c>
      <c r="CE104" s="17">
        <v>0</v>
      </c>
      <c r="CF104" s="17">
        <v>0</v>
      </c>
      <c r="CG104" s="17">
        <v>0</v>
      </c>
      <c r="CH104" s="17">
        <v>0</v>
      </c>
      <c r="CI104" s="17">
        <v>0</v>
      </c>
      <c r="CJ104" s="17">
        <v>0</v>
      </c>
      <c r="CK104" s="18">
        <v>0</v>
      </c>
    </row>
    <row r="105" spans="1:89">
      <c r="A105" s="5" t="s">
        <v>7</v>
      </c>
      <c r="B105" s="44" t="s">
        <v>84</v>
      </c>
      <c r="C105" s="6" t="s">
        <v>105</v>
      </c>
      <c r="D105" s="5">
        <v>90</v>
      </c>
      <c r="E105" s="31">
        <v>0.16027080729220344</v>
      </c>
      <c r="F105" s="38">
        <f t="shared" si="6"/>
        <v>1540.6210938305173</v>
      </c>
      <c r="J105" s="44">
        <v>90</v>
      </c>
      <c r="K105" s="54">
        <v>0</v>
      </c>
      <c r="L105" s="17">
        <f t="shared" si="4"/>
        <v>0</v>
      </c>
      <c r="M105" s="52">
        <f t="shared" si="7"/>
        <v>0</v>
      </c>
      <c r="N105" s="18">
        <f t="shared" si="5"/>
        <v>0</v>
      </c>
      <c r="R105" s="60">
        <v>3.5128307968500097E-2</v>
      </c>
      <c r="S105" s="16">
        <v>19</v>
      </c>
      <c r="T105" s="17">
        <v>33</v>
      </c>
      <c r="U105" s="18">
        <v>0.1111111111111111</v>
      </c>
      <c r="W105" s="16">
        <v>0</v>
      </c>
      <c r="X105" s="17">
        <v>0</v>
      </c>
      <c r="Y105" s="17">
        <v>0</v>
      </c>
      <c r="Z105" s="17">
        <v>0</v>
      </c>
      <c r="AA105" s="17">
        <v>0</v>
      </c>
      <c r="AB105" s="17">
        <v>0</v>
      </c>
      <c r="AC105" s="17">
        <v>0</v>
      </c>
      <c r="AD105" s="17">
        <v>0</v>
      </c>
      <c r="AE105" s="17">
        <v>0</v>
      </c>
      <c r="AF105" s="17">
        <v>1</v>
      </c>
      <c r="AG105" s="18">
        <v>0</v>
      </c>
      <c r="AI105" s="16">
        <v>0</v>
      </c>
      <c r="AJ105" s="17">
        <v>0</v>
      </c>
      <c r="AK105" s="17">
        <v>0</v>
      </c>
      <c r="AL105" s="17">
        <v>0</v>
      </c>
      <c r="AM105" s="17">
        <v>0</v>
      </c>
      <c r="AN105" s="17">
        <v>0</v>
      </c>
      <c r="AO105" s="17">
        <v>0</v>
      </c>
      <c r="AP105" s="17">
        <v>0</v>
      </c>
      <c r="AQ105" s="17">
        <v>0</v>
      </c>
      <c r="AR105" s="17">
        <v>1</v>
      </c>
      <c r="AS105" s="17">
        <v>0</v>
      </c>
      <c r="AT105" s="17">
        <v>0</v>
      </c>
      <c r="AU105" s="17">
        <v>0</v>
      </c>
      <c r="AV105" s="17">
        <v>0</v>
      </c>
      <c r="AW105" s="17">
        <v>0</v>
      </c>
      <c r="AX105" s="17">
        <v>0</v>
      </c>
      <c r="AY105" s="17">
        <v>0</v>
      </c>
      <c r="AZ105" s="17">
        <v>0</v>
      </c>
      <c r="BA105" s="17">
        <v>0</v>
      </c>
      <c r="BB105" s="17">
        <v>0</v>
      </c>
      <c r="BC105" s="17">
        <v>0</v>
      </c>
      <c r="BD105" s="17">
        <v>0</v>
      </c>
      <c r="BE105" s="17">
        <v>0</v>
      </c>
      <c r="BF105" s="17">
        <v>0</v>
      </c>
      <c r="BG105" s="17">
        <v>0</v>
      </c>
      <c r="BH105" s="17">
        <v>0</v>
      </c>
      <c r="BI105" s="17">
        <v>0</v>
      </c>
      <c r="BJ105" s="17">
        <v>0</v>
      </c>
      <c r="BK105" s="17">
        <v>0</v>
      </c>
      <c r="BL105" s="17">
        <v>0</v>
      </c>
      <c r="BM105" s="17">
        <v>0</v>
      </c>
      <c r="BN105" s="17">
        <v>0</v>
      </c>
      <c r="BO105" s="17">
        <v>0</v>
      </c>
      <c r="BP105" s="17">
        <v>0</v>
      </c>
      <c r="BQ105" s="17">
        <v>0</v>
      </c>
      <c r="BR105" s="17">
        <v>0</v>
      </c>
      <c r="BS105" s="17">
        <v>0</v>
      </c>
      <c r="BT105" s="17">
        <v>0</v>
      </c>
      <c r="BU105" s="17">
        <v>0</v>
      </c>
      <c r="BV105" s="17">
        <v>0</v>
      </c>
      <c r="BW105" s="17">
        <v>0</v>
      </c>
      <c r="BX105" s="17">
        <v>0</v>
      </c>
      <c r="BY105" s="17">
        <v>0</v>
      </c>
      <c r="BZ105" s="17">
        <v>0</v>
      </c>
      <c r="CA105" s="17">
        <v>0</v>
      </c>
      <c r="CB105" s="17">
        <v>0</v>
      </c>
      <c r="CC105" s="17">
        <v>0</v>
      </c>
      <c r="CD105" s="17">
        <v>0</v>
      </c>
      <c r="CE105" s="17">
        <v>0</v>
      </c>
      <c r="CF105" s="17">
        <v>0</v>
      </c>
      <c r="CG105" s="17">
        <v>0</v>
      </c>
      <c r="CH105" s="17">
        <v>0</v>
      </c>
      <c r="CI105" s="17">
        <v>0</v>
      </c>
      <c r="CJ105" s="17">
        <v>0</v>
      </c>
      <c r="CK105" s="18">
        <v>0</v>
      </c>
    </row>
    <row r="106" spans="1:89">
      <c r="A106" s="5" t="s">
        <v>7</v>
      </c>
      <c r="B106" s="44" t="s">
        <v>84</v>
      </c>
      <c r="C106" s="6" t="s">
        <v>107</v>
      </c>
      <c r="D106" s="5">
        <v>91</v>
      </c>
      <c r="E106" s="31">
        <v>0.15247921490657693</v>
      </c>
      <c r="F106" s="38">
        <f t="shared" si="6"/>
        <v>371.88223598653974</v>
      </c>
      <c r="J106" s="44">
        <v>91</v>
      </c>
      <c r="K106" s="54">
        <v>0</v>
      </c>
      <c r="L106" s="17">
        <f t="shared" si="4"/>
        <v>0</v>
      </c>
      <c r="M106" s="52">
        <f t="shared" si="7"/>
        <v>0</v>
      </c>
      <c r="N106" s="18">
        <f t="shared" si="5"/>
        <v>0</v>
      </c>
      <c r="R106" s="60">
        <v>2.7316453351594501E-2</v>
      </c>
      <c r="S106" s="16">
        <v>19</v>
      </c>
      <c r="T106" s="17">
        <v>34</v>
      </c>
      <c r="U106" s="18">
        <v>0.1111111111111111</v>
      </c>
      <c r="W106" s="16">
        <v>0</v>
      </c>
      <c r="X106" s="17">
        <v>0</v>
      </c>
      <c r="Y106" s="17">
        <v>0</v>
      </c>
      <c r="Z106" s="17">
        <v>0</v>
      </c>
      <c r="AA106" s="17">
        <v>0</v>
      </c>
      <c r="AB106" s="17">
        <v>0</v>
      </c>
      <c r="AC106" s="17">
        <v>0</v>
      </c>
      <c r="AD106" s="17">
        <v>0</v>
      </c>
      <c r="AE106" s="17">
        <v>0</v>
      </c>
      <c r="AF106" s="17">
        <v>1</v>
      </c>
      <c r="AG106" s="18">
        <v>0</v>
      </c>
      <c r="AI106" s="16">
        <v>0</v>
      </c>
      <c r="AJ106" s="17">
        <v>0</v>
      </c>
      <c r="AK106" s="17">
        <v>0</v>
      </c>
      <c r="AL106" s="17">
        <v>0</v>
      </c>
      <c r="AM106" s="17">
        <v>0</v>
      </c>
      <c r="AN106" s="17">
        <v>0</v>
      </c>
      <c r="AO106" s="17">
        <v>0</v>
      </c>
      <c r="AP106" s="17">
        <v>0</v>
      </c>
      <c r="AQ106" s="17">
        <v>0</v>
      </c>
      <c r="AR106" s="17">
        <v>1</v>
      </c>
      <c r="AS106" s="17">
        <v>0</v>
      </c>
      <c r="AT106" s="17">
        <v>0</v>
      </c>
      <c r="AU106" s="17">
        <v>0</v>
      </c>
      <c r="AV106" s="17">
        <v>0</v>
      </c>
      <c r="AW106" s="17">
        <v>0</v>
      </c>
      <c r="AX106" s="17">
        <v>0</v>
      </c>
      <c r="AY106" s="17">
        <v>0</v>
      </c>
      <c r="AZ106" s="17">
        <v>0</v>
      </c>
      <c r="BA106" s="17">
        <v>0</v>
      </c>
      <c r="BB106" s="17">
        <v>0</v>
      </c>
      <c r="BC106" s="17">
        <v>0</v>
      </c>
      <c r="BD106" s="17">
        <v>0</v>
      </c>
      <c r="BE106" s="17">
        <v>0</v>
      </c>
      <c r="BF106" s="17">
        <v>0</v>
      </c>
      <c r="BG106" s="17">
        <v>0</v>
      </c>
      <c r="BH106" s="17">
        <v>0</v>
      </c>
      <c r="BI106" s="17">
        <v>0</v>
      </c>
      <c r="BJ106" s="17">
        <v>0</v>
      </c>
      <c r="BK106" s="17">
        <v>0</v>
      </c>
      <c r="BL106" s="17">
        <v>0</v>
      </c>
      <c r="BM106" s="17">
        <v>0</v>
      </c>
      <c r="BN106" s="17">
        <v>0</v>
      </c>
      <c r="BO106" s="17">
        <v>0</v>
      </c>
      <c r="BP106" s="17">
        <v>0</v>
      </c>
      <c r="BQ106" s="17">
        <v>0</v>
      </c>
      <c r="BR106" s="17">
        <v>0</v>
      </c>
      <c r="BS106" s="17">
        <v>0</v>
      </c>
      <c r="BT106" s="17">
        <v>0</v>
      </c>
      <c r="BU106" s="17">
        <v>0</v>
      </c>
      <c r="BV106" s="17">
        <v>0</v>
      </c>
      <c r="BW106" s="17">
        <v>0</v>
      </c>
      <c r="BX106" s="17">
        <v>0</v>
      </c>
      <c r="BY106" s="17">
        <v>0</v>
      </c>
      <c r="BZ106" s="17">
        <v>0</v>
      </c>
      <c r="CA106" s="17">
        <v>0</v>
      </c>
      <c r="CB106" s="17">
        <v>0</v>
      </c>
      <c r="CC106" s="17">
        <v>0</v>
      </c>
      <c r="CD106" s="17">
        <v>0</v>
      </c>
      <c r="CE106" s="17">
        <v>0</v>
      </c>
      <c r="CF106" s="17">
        <v>0</v>
      </c>
      <c r="CG106" s="17">
        <v>0</v>
      </c>
      <c r="CH106" s="17">
        <v>0</v>
      </c>
      <c r="CI106" s="17">
        <v>0</v>
      </c>
      <c r="CJ106" s="17">
        <v>0</v>
      </c>
      <c r="CK106" s="18">
        <v>0</v>
      </c>
    </row>
    <row r="107" spans="1:89">
      <c r="A107" s="5" t="s">
        <v>7</v>
      </c>
      <c r="B107" s="44" t="s">
        <v>84</v>
      </c>
      <c r="C107" s="6" t="s">
        <v>108</v>
      </c>
      <c r="D107" s="5">
        <v>92</v>
      </c>
      <c r="E107" s="31">
        <v>0.15733636759352959</v>
      </c>
      <c r="F107" s="38">
        <f t="shared" si="6"/>
        <v>1100.4551390294396</v>
      </c>
      <c r="J107" s="44">
        <v>92</v>
      </c>
      <c r="K107" s="54">
        <v>0</v>
      </c>
      <c r="L107" s="17">
        <f t="shared" si="4"/>
        <v>0</v>
      </c>
      <c r="M107" s="52">
        <f t="shared" si="7"/>
        <v>0</v>
      </c>
      <c r="N107" s="18">
        <f t="shared" si="5"/>
        <v>0</v>
      </c>
      <c r="R107" s="60">
        <v>3.2175732532975801E-2</v>
      </c>
      <c r="S107" s="16">
        <v>19</v>
      </c>
      <c r="T107" s="17">
        <v>104</v>
      </c>
      <c r="U107" s="18">
        <v>0.1111111111111111</v>
      </c>
      <c r="W107" s="16">
        <v>0</v>
      </c>
      <c r="X107" s="17">
        <v>0</v>
      </c>
      <c r="Y107" s="17">
        <v>0</v>
      </c>
      <c r="Z107" s="17">
        <v>0</v>
      </c>
      <c r="AA107" s="17">
        <v>0</v>
      </c>
      <c r="AB107" s="17">
        <v>0</v>
      </c>
      <c r="AC107" s="17">
        <v>0</v>
      </c>
      <c r="AD107" s="17">
        <v>0</v>
      </c>
      <c r="AE107" s="17">
        <v>0</v>
      </c>
      <c r="AF107" s="17">
        <v>1</v>
      </c>
      <c r="AG107" s="18">
        <v>0</v>
      </c>
      <c r="AI107" s="16">
        <v>0</v>
      </c>
      <c r="AJ107" s="17">
        <v>0</v>
      </c>
      <c r="AK107" s="17">
        <v>0</v>
      </c>
      <c r="AL107" s="17">
        <v>0</v>
      </c>
      <c r="AM107" s="17">
        <v>0</v>
      </c>
      <c r="AN107" s="17">
        <v>0</v>
      </c>
      <c r="AO107" s="17">
        <v>0</v>
      </c>
      <c r="AP107" s="17">
        <v>0</v>
      </c>
      <c r="AQ107" s="17">
        <v>0</v>
      </c>
      <c r="AR107" s="17">
        <v>1</v>
      </c>
      <c r="AS107" s="17">
        <v>0</v>
      </c>
      <c r="AT107" s="17">
        <v>0</v>
      </c>
      <c r="AU107" s="17">
        <v>0</v>
      </c>
      <c r="AV107" s="17">
        <v>0</v>
      </c>
      <c r="AW107" s="17">
        <v>0</v>
      </c>
      <c r="AX107" s="17">
        <v>0</v>
      </c>
      <c r="AY107" s="17">
        <v>0</v>
      </c>
      <c r="AZ107" s="17">
        <v>0</v>
      </c>
      <c r="BA107" s="17">
        <v>0</v>
      </c>
      <c r="BB107" s="17">
        <v>0</v>
      </c>
      <c r="BC107" s="17">
        <v>0</v>
      </c>
      <c r="BD107" s="17">
        <v>0</v>
      </c>
      <c r="BE107" s="17">
        <v>0</v>
      </c>
      <c r="BF107" s="17">
        <v>0</v>
      </c>
      <c r="BG107" s="17">
        <v>0</v>
      </c>
      <c r="BH107" s="17">
        <v>0</v>
      </c>
      <c r="BI107" s="17">
        <v>0</v>
      </c>
      <c r="BJ107" s="17">
        <v>0</v>
      </c>
      <c r="BK107" s="17">
        <v>0</v>
      </c>
      <c r="BL107" s="17">
        <v>0</v>
      </c>
      <c r="BM107" s="17">
        <v>0</v>
      </c>
      <c r="BN107" s="17">
        <v>0</v>
      </c>
      <c r="BO107" s="17">
        <v>0</v>
      </c>
      <c r="BP107" s="17">
        <v>0</v>
      </c>
      <c r="BQ107" s="17">
        <v>0</v>
      </c>
      <c r="BR107" s="17">
        <v>0</v>
      </c>
      <c r="BS107" s="17">
        <v>0</v>
      </c>
      <c r="BT107" s="17">
        <v>0</v>
      </c>
      <c r="BU107" s="17">
        <v>0</v>
      </c>
      <c r="BV107" s="17">
        <v>0</v>
      </c>
      <c r="BW107" s="17">
        <v>0</v>
      </c>
      <c r="BX107" s="17">
        <v>0</v>
      </c>
      <c r="BY107" s="17">
        <v>0</v>
      </c>
      <c r="BZ107" s="17">
        <v>0</v>
      </c>
      <c r="CA107" s="17">
        <v>0</v>
      </c>
      <c r="CB107" s="17">
        <v>0</v>
      </c>
      <c r="CC107" s="17">
        <v>0</v>
      </c>
      <c r="CD107" s="17">
        <v>0</v>
      </c>
      <c r="CE107" s="17">
        <v>0</v>
      </c>
      <c r="CF107" s="17">
        <v>0</v>
      </c>
      <c r="CG107" s="17">
        <v>0</v>
      </c>
      <c r="CH107" s="17">
        <v>0</v>
      </c>
      <c r="CI107" s="17">
        <v>0</v>
      </c>
      <c r="CJ107" s="17">
        <v>0</v>
      </c>
      <c r="CK107" s="18">
        <v>0</v>
      </c>
    </row>
    <row r="108" spans="1:89">
      <c r="A108" s="5" t="s">
        <v>7</v>
      </c>
      <c r="B108" s="44" t="s">
        <v>84</v>
      </c>
      <c r="C108" s="6" t="s">
        <v>109</v>
      </c>
      <c r="D108" s="5">
        <v>93</v>
      </c>
      <c r="E108" s="31">
        <v>0.15384194241458324</v>
      </c>
      <c r="F108" s="38">
        <f t="shared" si="6"/>
        <v>576.29136218748658</v>
      </c>
      <c r="J108" s="44">
        <v>93</v>
      </c>
      <c r="K108" s="54">
        <v>0</v>
      </c>
      <c r="L108" s="17">
        <f t="shared" si="4"/>
        <v>0</v>
      </c>
      <c r="M108" s="52">
        <f t="shared" si="7"/>
        <v>0</v>
      </c>
      <c r="N108" s="18">
        <f t="shared" si="5"/>
        <v>0</v>
      </c>
      <c r="R108" s="60">
        <v>2.8711372187298901E-2</v>
      </c>
      <c r="S108" s="16">
        <v>19</v>
      </c>
      <c r="T108" s="17">
        <v>107</v>
      </c>
      <c r="U108" s="18">
        <v>0.1111111111111111</v>
      </c>
      <c r="W108" s="16">
        <v>0</v>
      </c>
      <c r="X108" s="17">
        <v>0</v>
      </c>
      <c r="Y108" s="17">
        <v>0</v>
      </c>
      <c r="Z108" s="17">
        <v>0</v>
      </c>
      <c r="AA108" s="17">
        <v>0</v>
      </c>
      <c r="AB108" s="17">
        <v>0</v>
      </c>
      <c r="AC108" s="17">
        <v>0</v>
      </c>
      <c r="AD108" s="17">
        <v>0</v>
      </c>
      <c r="AE108" s="17">
        <v>0</v>
      </c>
      <c r="AF108" s="17">
        <v>1</v>
      </c>
      <c r="AG108" s="18">
        <v>0</v>
      </c>
      <c r="AI108" s="16">
        <v>0</v>
      </c>
      <c r="AJ108" s="17">
        <v>0</v>
      </c>
      <c r="AK108" s="17">
        <v>0</v>
      </c>
      <c r="AL108" s="17">
        <v>0</v>
      </c>
      <c r="AM108" s="17">
        <v>0</v>
      </c>
      <c r="AN108" s="17">
        <v>0</v>
      </c>
      <c r="AO108" s="17">
        <v>0</v>
      </c>
      <c r="AP108" s="17">
        <v>0</v>
      </c>
      <c r="AQ108" s="17">
        <v>0</v>
      </c>
      <c r="AR108" s="17">
        <v>1</v>
      </c>
      <c r="AS108" s="17">
        <v>0</v>
      </c>
      <c r="AT108" s="17">
        <v>0</v>
      </c>
      <c r="AU108" s="17">
        <v>0</v>
      </c>
      <c r="AV108" s="17">
        <v>0</v>
      </c>
      <c r="AW108" s="17">
        <v>0</v>
      </c>
      <c r="AX108" s="17">
        <v>0</v>
      </c>
      <c r="AY108" s="17">
        <v>0</v>
      </c>
      <c r="AZ108" s="17">
        <v>0</v>
      </c>
      <c r="BA108" s="17">
        <v>0</v>
      </c>
      <c r="BB108" s="17">
        <v>0</v>
      </c>
      <c r="BC108" s="17">
        <v>0</v>
      </c>
      <c r="BD108" s="17">
        <v>0</v>
      </c>
      <c r="BE108" s="17">
        <v>0</v>
      </c>
      <c r="BF108" s="17">
        <v>0</v>
      </c>
      <c r="BG108" s="17">
        <v>0</v>
      </c>
      <c r="BH108" s="17">
        <v>0</v>
      </c>
      <c r="BI108" s="17">
        <v>0</v>
      </c>
      <c r="BJ108" s="17">
        <v>0</v>
      </c>
      <c r="BK108" s="17">
        <v>0</v>
      </c>
      <c r="BL108" s="17">
        <v>0</v>
      </c>
      <c r="BM108" s="17">
        <v>0</v>
      </c>
      <c r="BN108" s="17">
        <v>0</v>
      </c>
      <c r="BO108" s="17">
        <v>0</v>
      </c>
      <c r="BP108" s="17">
        <v>0</v>
      </c>
      <c r="BQ108" s="17">
        <v>0</v>
      </c>
      <c r="BR108" s="17">
        <v>0</v>
      </c>
      <c r="BS108" s="17">
        <v>0</v>
      </c>
      <c r="BT108" s="17">
        <v>0</v>
      </c>
      <c r="BU108" s="17">
        <v>0</v>
      </c>
      <c r="BV108" s="17">
        <v>0</v>
      </c>
      <c r="BW108" s="17">
        <v>0</v>
      </c>
      <c r="BX108" s="17">
        <v>0</v>
      </c>
      <c r="BY108" s="17">
        <v>0</v>
      </c>
      <c r="BZ108" s="17">
        <v>0</v>
      </c>
      <c r="CA108" s="17">
        <v>0</v>
      </c>
      <c r="CB108" s="17">
        <v>0</v>
      </c>
      <c r="CC108" s="17">
        <v>0</v>
      </c>
      <c r="CD108" s="17">
        <v>0</v>
      </c>
      <c r="CE108" s="17">
        <v>0</v>
      </c>
      <c r="CF108" s="17">
        <v>0</v>
      </c>
      <c r="CG108" s="17">
        <v>0</v>
      </c>
      <c r="CH108" s="17">
        <v>0</v>
      </c>
      <c r="CI108" s="17">
        <v>0</v>
      </c>
      <c r="CJ108" s="17">
        <v>0</v>
      </c>
      <c r="CK108" s="18">
        <v>0</v>
      </c>
    </row>
    <row r="109" spans="1:89">
      <c r="A109" s="5" t="s">
        <v>7</v>
      </c>
      <c r="B109" s="44" t="s">
        <v>84</v>
      </c>
      <c r="C109" s="6" t="s">
        <v>110</v>
      </c>
      <c r="D109" s="5">
        <v>94</v>
      </c>
      <c r="E109" s="31">
        <v>0.15559364073514317</v>
      </c>
      <c r="F109" s="38">
        <f t="shared" si="6"/>
        <v>839.04611027147689</v>
      </c>
      <c r="J109" s="44">
        <v>94</v>
      </c>
      <c r="K109" s="54">
        <v>0</v>
      </c>
      <c r="L109" s="17">
        <f t="shared" si="4"/>
        <v>0</v>
      </c>
      <c r="M109" s="52">
        <f t="shared" si="7"/>
        <v>0</v>
      </c>
      <c r="N109" s="18">
        <f t="shared" si="5"/>
        <v>0</v>
      </c>
      <c r="R109" s="60">
        <v>3.0456252897532201E-2</v>
      </c>
      <c r="S109" s="16">
        <v>19</v>
      </c>
      <c r="T109" s="17">
        <v>108</v>
      </c>
      <c r="U109" s="18">
        <v>0.1111111111111111</v>
      </c>
      <c r="W109" s="16">
        <v>0</v>
      </c>
      <c r="X109" s="17">
        <v>0</v>
      </c>
      <c r="Y109" s="17">
        <v>0</v>
      </c>
      <c r="Z109" s="17">
        <v>0</v>
      </c>
      <c r="AA109" s="17">
        <v>0</v>
      </c>
      <c r="AB109" s="17">
        <v>0</v>
      </c>
      <c r="AC109" s="17">
        <v>0</v>
      </c>
      <c r="AD109" s="17">
        <v>0</v>
      </c>
      <c r="AE109" s="17">
        <v>0</v>
      </c>
      <c r="AF109" s="17">
        <v>1</v>
      </c>
      <c r="AG109" s="18">
        <v>0</v>
      </c>
      <c r="AI109" s="16">
        <v>0</v>
      </c>
      <c r="AJ109" s="17">
        <v>0</v>
      </c>
      <c r="AK109" s="17">
        <v>0</v>
      </c>
      <c r="AL109" s="17">
        <v>0</v>
      </c>
      <c r="AM109" s="17">
        <v>0</v>
      </c>
      <c r="AN109" s="17">
        <v>0</v>
      </c>
      <c r="AO109" s="17">
        <v>0</v>
      </c>
      <c r="AP109" s="17">
        <v>0</v>
      </c>
      <c r="AQ109" s="17">
        <v>0</v>
      </c>
      <c r="AR109" s="17">
        <v>1</v>
      </c>
      <c r="AS109" s="17">
        <v>0</v>
      </c>
      <c r="AT109" s="17">
        <v>0</v>
      </c>
      <c r="AU109" s="17">
        <v>0</v>
      </c>
      <c r="AV109" s="17">
        <v>0</v>
      </c>
      <c r="AW109" s="17">
        <v>0</v>
      </c>
      <c r="AX109" s="17">
        <v>0</v>
      </c>
      <c r="AY109" s="17">
        <v>0</v>
      </c>
      <c r="AZ109" s="17">
        <v>0</v>
      </c>
      <c r="BA109" s="17">
        <v>0</v>
      </c>
      <c r="BB109" s="17">
        <v>0</v>
      </c>
      <c r="BC109" s="17">
        <v>0</v>
      </c>
      <c r="BD109" s="17">
        <v>0</v>
      </c>
      <c r="BE109" s="17">
        <v>0</v>
      </c>
      <c r="BF109" s="17">
        <v>0</v>
      </c>
      <c r="BG109" s="17">
        <v>0</v>
      </c>
      <c r="BH109" s="17">
        <v>0</v>
      </c>
      <c r="BI109" s="17">
        <v>0</v>
      </c>
      <c r="BJ109" s="17">
        <v>0</v>
      </c>
      <c r="BK109" s="17">
        <v>0</v>
      </c>
      <c r="BL109" s="17">
        <v>0</v>
      </c>
      <c r="BM109" s="17">
        <v>0</v>
      </c>
      <c r="BN109" s="17">
        <v>0</v>
      </c>
      <c r="BO109" s="17">
        <v>0</v>
      </c>
      <c r="BP109" s="17">
        <v>0</v>
      </c>
      <c r="BQ109" s="17">
        <v>0</v>
      </c>
      <c r="BR109" s="17">
        <v>0</v>
      </c>
      <c r="BS109" s="17">
        <v>0</v>
      </c>
      <c r="BT109" s="17">
        <v>0</v>
      </c>
      <c r="BU109" s="17">
        <v>0</v>
      </c>
      <c r="BV109" s="17">
        <v>0</v>
      </c>
      <c r="BW109" s="17">
        <v>0</v>
      </c>
      <c r="BX109" s="17">
        <v>0</v>
      </c>
      <c r="BY109" s="17">
        <v>0</v>
      </c>
      <c r="BZ109" s="17">
        <v>0</v>
      </c>
      <c r="CA109" s="17">
        <v>0</v>
      </c>
      <c r="CB109" s="17">
        <v>0</v>
      </c>
      <c r="CC109" s="17">
        <v>0</v>
      </c>
      <c r="CD109" s="17">
        <v>0</v>
      </c>
      <c r="CE109" s="17">
        <v>0</v>
      </c>
      <c r="CF109" s="17">
        <v>0</v>
      </c>
      <c r="CG109" s="17">
        <v>0</v>
      </c>
      <c r="CH109" s="17">
        <v>0</v>
      </c>
      <c r="CI109" s="17">
        <v>0</v>
      </c>
      <c r="CJ109" s="17">
        <v>0</v>
      </c>
      <c r="CK109" s="18">
        <v>0</v>
      </c>
    </row>
    <row r="110" spans="1:89">
      <c r="A110" s="5" t="s">
        <v>23</v>
      </c>
      <c r="B110" s="44" t="s">
        <v>111</v>
      </c>
      <c r="C110" s="6" t="s">
        <v>112</v>
      </c>
      <c r="D110" s="5">
        <v>95</v>
      </c>
      <c r="E110" s="31">
        <v>0.10482773279065216</v>
      </c>
      <c r="F110" s="38">
        <f t="shared" si="6"/>
        <v>0</v>
      </c>
      <c r="J110" s="44">
        <v>95</v>
      </c>
      <c r="K110" s="54">
        <v>0</v>
      </c>
      <c r="L110" s="17">
        <f t="shared" si="4"/>
        <v>0</v>
      </c>
      <c r="M110" s="52">
        <f t="shared" si="7"/>
        <v>0</v>
      </c>
      <c r="N110" s="18">
        <f t="shared" si="5"/>
        <v>0</v>
      </c>
      <c r="R110" s="60">
        <v>3.2018495653633648E-2</v>
      </c>
      <c r="S110" s="16">
        <v>20</v>
      </c>
      <c r="T110" s="17">
        <v>15</v>
      </c>
      <c r="U110" s="18">
        <v>0.16666666666666666</v>
      </c>
      <c r="W110" s="16">
        <v>0</v>
      </c>
      <c r="X110" s="17">
        <v>0</v>
      </c>
      <c r="Y110" s="17">
        <v>0</v>
      </c>
      <c r="Z110" s="17">
        <v>0</v>
      </c>
      <c r="AA110" s="17">
        <v>0</v>
      </c>
      <c r="AB110" s="17">
        <v>0</v>
      </c>
      <c r="AC110" s="17">
        <v>0</v>
      </c>
      <c r="AD110" s="17">
        <v>0</v>
      </c>
      <c r="AE110" s="17">
        <v>0</v>
      </c>
      <c r="AF110" s="17">
        <v>0</v>
      </c>
      <c r="AG110" s="18">
        <v>1</v>
      </c>
      <c r="AI110" s="16">
        <v>0</v>
      </c>
      <c r="AJ110" s="17">
        <v>0</v>
      </c>
      <c r="AK110" s="17">
        <v>0</v>
      </c>
      <c r="AL110" s="17">
        <v>0</v>
      </c>
      <c r="AM110" s="17">
        <v>0</v>
      </c>
      <c r="AN110" s="17">
        <v>0</v>
      </c>
      <c r="AO110" s="17">
        <v>0</v>
      </c>
      <c r="AP110" s="17">
        <v>0</v>
      </c>
      <c r="AQ110" s="17">
        <v>0</v>
      </c>
      <c r="AR110" s="17">
        <v>0</v>
      </c>
      <c r="AS110" s="17">
        <v>1</v>
      </c>
      <c r="AT110" s="17">
        <v>0</v>
      </c>
      <c r="AU110" s="17">
        <v>0</v>
      </c>
      <c r="AV110" s="17">
        <v>0</v>
      </c>
      <c r="AW110" s="17">
        <v>0</v>
      </c>
      <c r="AX110" s="17">
        <v>0</v>
      </c>
      <c r="AY110" s="17">
        <v>0</v>
      </c>
      <c r="AZ110" s="17">
        <v>0</v>
      </c>
      <c r="BA110" s="17">
        <v>0</v>
      </c>
      <c r="BB110" s="17">
        <v>0</v>
      </c>
      <c r="BC110" s="17">
        <v>0</v>
      </c>
      <c r="BD110" s="17">
        <v>0</v>
      </c>
      <c r="BE110" s="17">
        <v>0</v>
      </c>
      <c r="BF110" s="17">
        <v>0</v>
      </c>
      <c r="BG110" s="17">
        <v>0</v>
      </c>
      <c r="BH110" s="17">
        <v>0</v>
      </c>
      <c r="BI110" s="17">
        <v>0</v>
      </c>
      <c r="BJ110" s="17">
        <v>0</v>
      </c>
      <c r="BK110" s="17">
        <v>0</v>
      </c>
      <c r="BL110" s="17">
        <v>0</v>
      </c>
      <c r="BM110" s="17">
        <v>0</v>
      </c>
      <c r="BN110" s="17">
        <v>0</v>
      </c>
      <c r="BO110" s="17">
        <v>0</v>
      </c>
      <c r="BP110" s="17">
        <v>0</v>
      </c>
      <c r="BQ110" s="17">
        <v>0</v>
      </c>
      <c r="BR110" s="17">
        <v>0</v>
      </c>
      <c r="BS110" s="17">
        <v>0</v>
      </c>
      <c r="BT110" s="17">
        <v>0</v>
      </c>
      <c r="BU110" s="17">
        <v>0</v>
      </c>
      <c r="BV110" s="17">
        <v>0</v>
      </c>
      <c r="BW110" s="17">
        <v>0</v>
      </c>
      <c r="BX110" s="17">
        <v>0</v>
      </c>
      <c r="BY110" s="17">
        <v>0</v>
      </c>
      <c r="BZ110" s="17">
        <v>0</v>
      </c>
      <c r="CA110" s="17">
        <v>0</v>
      </c>
      <c r="CB110" s="17">
        <v>0</v>
      </c>
      <c r="CC110" s="17">
        <v>0</v>
      </c>
      <c r="CD110" s="17">
        <v>0</v>
      </c>
      <c r="CE110" s="17">
        <v>0</v>
      </c>
      <c r="CF110" s="17">
        <v>0</v>
      </c>
      <c r="CG110" s="17">
        <v>0</v>
      </c>
      <c r="CH110" s="17">
        <v>0</v>
      </c>
      <c r="CI110" s="17">
        <v>0</v>
      </c>
      <c r="CJ110" s="17">
        <v>0</v>
      </c>
      <c r="CK110" s="18">
        <v>0</v>
      </c>
    </row>
    <row r="111" spans="1:89">
      <c r="A111" s="5" t="s">
        <v>23</v>
      </c>
      <c r="B111" s="44" t="s">
        <v>111</v>
      </c>
      <c r="C111" s="6" t="s">
        <v>113</v>
      </c>
      <c r="D111" s="5">
        <v>96</v>
      </c>
      <c r="E111" s="31">
        <v>0.10364035324024055</v>
      </c>
      <c r="F111" s="38">
        <f t="shared" si="6"/>
        <v>0</v>
      </c>
      <c r="J111" s="44">
        <v>96</v>
      </c>
      <c r="K111" s="54">
        <v>0</v>
      </c>
      <c r="L111" s="17">
        <f t="shared" si="4"/>
        <v>0</v>
      </c>
      <c r="M111" s="52">
        <f t="shared" si="7"/>
        <v>0</v>
      </c>
      <c r="N111" s="18">
        <f t="shared" si="5"/>
        <v>0</v>
      </c>
      <c r="R111" s="60">
        <v>3.1515430743041403E-2</v>
      </c>
      <c r="S111" s="16">
        <v>20</v>
      </c>
      <c r="T111" s="17">
        <v>18</v>
      </c>
      <c r="U111" s="18">
        <v>0.16666666666666666</v>
      </c>
      <c r="W111" s="16">
        <v>0</v>
      </c>
      <c r="X111" s="17">
        <v>0</v>
      </c>
      <c r="Y111" s="17">
        <v>0</v>
      </c>
      <c r="Z111" s="17">
        <v>0</v>
      </c>
      <c r="AA111" s="17">
        <v>0</v>
      </c>
      <c r="AB111" s="17">
        <v>0</v>
      </c>
      <c r="AC111" s="17">
        <v>0</v>
      </c>
      <c r="AD111" s="17">
        <v>0</v>
      </c>
      <c r="AE111" s="17">
        <v>0</v>
      </c>
      <c r="AF111" s="17">
        <v>0</v>
      </c>
      <c r="AG111" s="18">
        <v>1</v>
      </c>
      <c r="AI111" s="16">
        <v>0</v>
      </c>
      <c r="AJ111" s="17">
        <v>0</v>
      </c>
      <c r="AK111" s="17">
        <v>0</v>
      </c>
      <c r="AL111" s="17">
        <v>0</v>
      </c>
      <c r="AM111" s="17">
        <v>0</v>
      </c>
      <c r="AN111" s="17">
        <v>0</v>
      </c>
      <c r="AO111" s="17">
        <v>0</v>
      </c>
      <c r="AP111" s="17">
        <v>0</v>
      </c>
      <c r="AQ111" s="17">
        <v>0</v>
      </c>
      <c r="AR111" s="17">
        <v>0</v>
      </c>
      <c r="AS111" s="17">
        <v>1</v>
      </c>
      <c r="AT111" s="17">
        <v>0</v>
      </c>
      <c r="AU111" s="17">
        <v>0</v>
      </c>
      <c r="AV111" s="17">
        <v>0</v>
      </c>
      <c r="AW111" s="17">
        <v>0</v>
      </c>
      <c r="AX111" s="17">
        <v>0</v>
      </c>
      <c r="AY111" s="17">
        <v>0</v>
      </c>
      <c r="AZ111" s="17">
        <v>0</v>
      </c>
      <c r="BA111" s="17">
        <v>0</v>
      </c>
      <c r="BB111" s="17">
        <v>0</v>
      </c>
      <c r="BC111" s="17">
        <v>0</v>
      </c>
      <c r="BD111" s="17">
        <v>0</v>
      </c>
      <c r="BE111" s="17">
        <v>0</v>
      </c>
      <c r="BF111" s="17">
        <v>0</v>
      </c>
      <c r="BG111" s="17">
        <v>0</v>
      </c>
      <c r="BH111" s="17">
        <v>0</v>
      </c>
      <c r="BI111" s="17">
        <v>0</v>
      </c>
      <c r="BJ111" s="17">
        <v>0</v>
      </c>
      <c r="BK111" s="17">
        <v>0</v>
      </c>
      <c r="BL111" s="17">
        <v>0</v>
      </c>
      <c r="BM111" s="17">
        <v>0</v>
      </c>
      <c r="BN111" s="17">
        <v>0</v>
      </c>
      <c r="BO111" s="17">
        <v>0</v>
      </c>
      <c r="BP111" s="17">
        <v>0</v>
      </c>
      <c r="BQ111" s="17">
        <v>0</v>
      </c>
      <c r="BR111" s="17">
        <v>0</v>
      </c>
      <c r="BS111" s="17">
        <v>0</v>
      </c>
      <c r="BT111" s="17">
        <v>0</v>
      </c>
      <c r="BU111" s="17">
        <v>0</v>
      </c>
      <c r="BV111" s="17">
        <v>0</v>
      </c>
      <c r="BW111" s="17">
        <v>0</v>
      </c>
      <c r="BX111" s="17">
        <v>0</v>
      </c>
      <c r="BY111" s="17">
        <v>0</v>
      </c>
      <c r="BZ111" s="17">
        <v>0</v>
      </c>
      <c r="CA111" s="17">
        <v>0</v>
      </c>
      <c r="CB111" s="17">
        <v>0</v>
      </c>
      <c r="CC111" s="17">
        <v>0</v>
      </c>
      <c r="CD111" s="17">
        <v>0</v>
      </c>
      <c r="CE111" s="17">
        <v>0</v>
      </c>
      <c r="CF111" s="17">
        <v>0</v>
      </c>
      <c r="CG111" s="17">
        <v>0</v>
      </c>
      <c r="CH111" s="17">
        <v>0</v>
      </c>
      <c r="CI111" s="17">
        <v>0</v>
      </c>
      <c r="CJ111" s="17">
        <v>0</v>
      </c>
      <c r="CK111" s="18">
        <v>0</v>
      </c>
    </row>
    <row r="112" spans="1:89">
      <c r="A112" s="5" t="s">
        <v>23</v>
      </c>
      <c r="B112" s="44" t="s">
        <v>111</v>
      </c>
      <c r="C112" s="6" t="s">
        <v>114</v>
      </c>
      <c r="D112" s="5">
        <v>97</v>
      </c>
      <c r="E112" s="31">
        <v>0.10419339785068132</v>
      </c>
      <c r="F112" s="38">
        <f t="shared" si="6"/>
        <v>0</v>
      </c>
      <c r="J112" s="44">
        <v>97</v>
      </c>
      <c r="K112" s="54">
        <v>0</v>
      </c>
      <c r="L112" s="17">
        <f t="shared" si="4"/>
        <v>0</v>
      </c>
      <c r="M112" s="52">
        <f t="shared" si="7"/>
        <v>0</v>
      </c>
      <c r="N112" s="18">
        <f t="shared" si="5"/>
        <v>0</v>
      </c>
      <c r="R112" s="60">
        <v>3.2564466103505253E-2</v>
      </c>
      <c r="S112" s="16">
        <v>20</v>
      </c>
      <c r="T112" s="17">
        <v>19</v>
      </c>
      <c r="U112" s="18">
        <v>0.16666666666666666</v>
      </c>
      <c r="W112" s="16">
        <v>0</v>
      </c>
      <c r="X112" s="17">
        <v>0</v>
      </c>
      <c r="Y112" s="17">
        <v>0</v>
      </c>
      <c r="Z112" s="17">
        <v>0</v>
      </c>
      <c r="AA112" s="17">
        <v>0</v>
      </c>
      <c r="AB112" s="17">
        <v>0</v>
      </c>
      <c r="AC112" s="17">
        <v>0</v>
      </c>
      <c r="AD112" s="17">
        <v>0</v>
      </c>
      <c r="AE112" s="17">
        <v>0</v>
      </c>
      <c r="AF112" s="17">
        <v>0</v>
      </c>
      <c r="AG112" s="18">
        <v>1</v>
      </c>
      <c r="AI112" s="16">
        <v>0</v>
      </c>
      <c r="AJ112" s="17">
        <v>0</v>
      </c>
      <c r="AK112" s="17">
        <v>0</v>
      </c>
      <c r="AL112" s="17">
        <v>0</v>
      </c>
      <c r="AM112" s="17">
        <v>0</v>
      </c>
      <c r="AN112" s="17">
        <v>0</v>
      </c>
      <c r="AO112" s="17">
        <v>0</v>
      </c>
      <c r="AP112" s="17">
        <v>0</v>
      </c>
      <c r="AQ112" s="17">
        <v>0</v>
      </c>
      <c r="AR112" s="17">
        <v>0</v>
      </c>
      <c r="AS112" s="17">
        <v>1</v>
      </c>
      <c r="AT112" s="17">
        <v>0</v>
      </c>
      <c r="AU112" s="17">
        <v>0</v>
      </c>
      <c r="AV112" s="17">
        <v>0</v>
      </c>
      <c r="AW112" s="17">
        <v>0</v>
      </c>
      <c r="AX112" s="17">
        <v>0</v>
      </c>
      <c r="AY112" s="17">
        <v>0</v>
      </c>
      <c r="AZ112" s="17">
        <v>0</v>
      </c>
      <c r="BA112" s="17">
        <v>0</v>
      </c>
      <c r="BB112" s="17">
        <v>0</v>
      </c>
      <c r="BC112" s="17">
        <v>0</v>
      </c>
      <c r="BD112" s="17">
        <v>0</v>
      </c>
      <c r="BE112" s="17">
        <v>0</v>
      </c>
      <c r="BF112" s="17">
        <v>0</v>
      </c>
      <c r="BG112" s="17">
        <v>0</v>
      </c>
      <c r="BH112" s="17">
        <v>0</v>
      </c>
      <c r="BI112" s="17">
        <v>0</v>
      </c>
      <c r="BJ112" s="17">
        <v>0</v>
      </c>
      <c r="BK112" s="17">
        <v>0</v>
      </c>
      <c r="BL112" s="17">
        <v>0</v>
      </c>
      <c r="BM112" s="17">
        <v>0</v>
      </c>
      <c r="BN112" s="17">
        <v>0</v>
      </c>
      <c r="BO112" s="17">
        <v>0</v>
      </c>
      <c r="BP112" s="17">
        <v>0</v>
      </c>
      <c r="BQ112" s="17">
        <v>0</v>
      </c>
      <c r="BR112" s="17">
        <v>0</v>
      </c>
      <c r="BS112" s="17">
        <v>0</v>
      </c>
      <c r="BT112" s="17">
        <v>0</v>
      </c>
      <c r="BU112" s="17">
        <v>0</v>
      </c>
      <c r="BV112" s="17">
        <v>0</v>
      </c>
      <c r="BW112" s="17">
        <v>0</v>
      </c>
      <c r="BX112" s="17">
        <v>0</v>
      </c>
      <c r="BY112" s="17">
        <v>0</v>
      </c>
      <c r="BZ112" s="17">
        <v>0</v>
      </c>
      <c r="CA112" s="17">
        <v>0</v>
      </c>
      <c r="CB112" s="17">
        <v>0</v>
      </c>
      <c r="CC112" s="17">
        <v>0</v>
      </c>
      <c r="CD112" s="17">
        <v>0</v>
      </c>
      <c r="CE112" s="17">
        <v>0</v>
      </c>
      <c r="CF112" s="17">
        <v>0</v>
      </c>
      <c r="CG112" s="17">
        <v>0</v>
      </c>
      <c r="CH112" s="17">
        <v>0</v>
      </c>
      <c r="CI112" s="17">
        <v>0</v>
      </c>
      <c r="CJ112" s="17">
        <v>0</v>
      </c>
      <c r="CK112" s="18">
        <v>0</v>
      </c>
    </row>
    <row r="113" spans="1:89">
      <c r="A113" s="5" t="s">
        <v>23</v>
      </c>
      <c r="B113" s="44" t="s">
        <v>111</v>
      </c>
      <c r="C113" s="6" t="s">
        <v>115</v>
      </c>
      <c r="D113" s="5">
        <v>98</v>
      </c>
      <c r="E113" s="31">
        <v>0.10640433906960486</v>
      </c>
      <c r="F113" s="38">
        <f t="shared" si="6"/>
        <v>0</v>
      </c>
      <c r="J113" s="44">
        <v>98</v>
      </c>
      <c r="K113" s="54">
        <v>0</v>
      </c>
      <c r="L113" s="17">
        <f t="shared" si="4"/>
        <v>0</v>
      </c>
      <c r="M113" s="52">
        <f t="shared" si="7"/>
        <v>0</v>
      </c>
      <c r="N113" s="18">
        <f t="shared" si="5"/>
        <v>0</v>
      </c>
      <c r="R113" s="60">
        <v>3.2563534626709148E-2</v>
      </c>
      <c r="S113" s="16">
        <v>20</v>
      </c>
      <c r="T113" s="17">
        <v>21</v>
      </c>
      <c r="U113" s="18">
        <v>0.16666666666666666</v>
      </c>
      <c r="W113" s="16">
        <v>0</v>
      </c>
      <c r="X113" s="17">
        <v>0</v>
      </c>
      <c r="Y113" s="17">
        <v>0</v>
      </c>
      <c r="Z113" s="17">
        <v>0</v>
      </c>
      <c r="AA113" s="17">
        <v>0</v>
      </c>
      <c r="AB113" s="17">
        <v>0</v>
      </c>
      <c r="AC113" s="17">
        <v>0</v>
      </c>
      <c r="AD113" s="17">
        <v>0</v>
      </c>
      <c r="AE113" s="17">
        <v>0</v>
      </c>
      <c r="AF113" s="17">
        <v>0</v>
      </c>
      <c r="AG113" s="18">
        <v>1</v>
      </c>
      <c r="AI113" s="16">
        <v>0</v>
      </c>
      <c r="AJ113" s="17">
        <v>0</v>
      </c>
      <c r="AK113" s="17">
        <v>0</v>
      </c>
      <c r="AL113" s="17">
        <v>0</v>
      </c>
      <c r="AM113" s="17">
        <v>0</v>
      </c>
      <c r="AN113" s="17">
        <v>0</v>
      </c>
      <c r="AO113" s="17">
        <v>0</v>
      </c>
      <c r="AP113" s="17">
        <v>0</v>
      </c>
      <c r="AQ113" s="17">
        <v>0</v>
      </c>
      <c r="AR113" s="17">
        <v>0</v>
      </c>
      <c r="AS113" s="17">
        <v>1</v>
      </c>
      <c r="AT113" s="17">
        <v>0</v>
      </c>
      <c r="AU113" s="17">
        <v>0</v>
      </c>
      <c r="AV113" s="17">
        <v>0</v>
      </c>
      <c r="AW113" s="17">
        <v>0</v>
      </c>
      <c r="AX113" s="17">
        <v>0</v>
      </c>
      <c r="AY113" s="17">
        <v>0</v>
      </c>
      <c r="AZ113" s="17">
        <v>0</v>
      </c>
      <c r="BA113" s="17">
        <v>0</v>
      </c>
      <c r="BB113" s="17">
        <v>0</v>
      </c>
      <c r="BC113" s="17">
        <v>0</v>
      </c>
      <c r="BD113" s="17">
        <v>0</v>
      </c>
      <c r="BE113" s="17">
        <v>0</v>
      </c>
      <c r="BF113" s="17">
        <v>0</v>
      </c>
      <c r="BG113" s="17">
        <v>0</v>
      </c>
      <c r="BH113" s="17">
        <v>0</v>
      </c>
      <c r="BI113" s="17">
        <v>0</v>
      </c>
      <c r="BJ113" s="17">
        <v>0</v>
      </c>
      <c r="BK113" s="17">
        <v>0</v>
      </c>
      <c r="BL113" s="17">
        <v>0</v>
      </c>
      <c r="BM113" s="17">
        <v>0</v>
      </c>
      <c r="BN113" s="17">
        <v>0</v>
      </c>
      <c r="BO113" s="17">
        <v>0</v>
      </c>
      <c r="BP113" s="17">
        <v>0</v>
      </c>
      <c r="BQ113" s="17">
        <v>0</v>
      </c>
      <c r="BR113" s="17">
        <v>0</v>
      </c>
      <c r="BS113" s="17">
        <v>0</v>
      </c>
      <c r="BT113" s="17">
        <v>0</v>
      </c>
      <c r="BU113" s="17">
        <v>0</v>
      </c>
      <c r="BV113" s="17">
        <v>0</v>
      </c>
      <c r="BW113" s="17">
        <v>0</v>
      </c>
      <c r="BX113" s="17">
        <v>0</v>
      </c>
      <c r="BY113" s="17">
        <v>0</v>
      </c>
      <c r="BZ113" s="17">
        <v>0</v>
      </c>
      <c r="CA113" s="17">
        <v>0</v>
      </c>
      <c r="CB113" s="17">
        <v>0</v>
      </c>
      <c r="CC113" s="17">
        <v>0</v>
      </c>
      <c r="CD113" s="17">
        <v>0</v>
      </c>
      <c r="CE113" s="17">
        <v>0</v>
      </c>
      <c r="CF113" s="17">
        <v>0</v>
      </c>
      <c r="CG113" s="17">
        <v>0</v>
      </c>
      <c r="CH113" s="17">
        <v>0</v>
      </c>
      <c r="CI113" s="17">
        <v>0</v>
      </c>
      <c r="CJ113" s="17">
        <v>0</v>
      </c>
      <c r="CK113" s="18">
        <v>0</v>
      </c>
    </row>
    <row r="114" spans="1:89">
      <c r="A114" s="5" t="s">
        <v>23</v>
      </c>
      <c r="B114" s="44" t="s">
        <v>111</v>
      </c>
      <c r="C114" s="6" t="s">
        <v>116</v>
      </c>
      <c r="D114" s="5">
        <v>99</v>
      </c>
      <c r="E114" s="31">
        <v>0.10507257659381403</v>
      </c>
      <c r="F114" s="38">
        <f t="shared" si="6"/>
        <v>0</v>
      </c>
      <c r="J114" s="44">
        <v>99</v>
      </c>
      <c r="K114" s="54">
        <v>0</v>
      </c>
      <c r="L114" s="17">
        <f t="shared" si="4"/>
        <v>0</v>
      </c>
      <c r="M114" s="52">
        <f t="shared" si="7"/>
        <v>0</v>
      </c>
      <c r="N114" s="18">
        <f t="shared" si="5"/>
        <v>0</v>
      </c>
      <c r="R114" s="60">
        <v>3.285838103485355E-2</v>
      </c>
      <c r="S114" s="16">
        <v>20</v>
      </c>
      <c r="T114" s="17">
        <v>71</v>
      </c>
      <c r="U114" s="18">
        <v>0.16666666666666666</v>
      </c>
      <c r="W114" s="16">
        <v>0</v>
      </c>
      <c r="X114" s="17">
        <v>0</v>
      </c>
      <c r="Y114" s="17">
        <v>0</v>
      </c>
      <c r="Z114" s="17">
        <v>0</v>
      </c>
      <c r="AA114" s="17">
        <v>0</v>
      </c>
      <c r="AB114" s="17">
        <v>0</v>
      </c>
      <c r="AC114" s="17">
        <v>0</v>
      </c>
      <c r="AD114" s="17">
        <v>0</v>
      </c>
      <c r="AE114" s="17">
        <v>0</v>
      </c>
      <c r="AF114" s="17">
        <v>0</v>
      </c>
      <c r="AG114" s="18">
        <v>1</v>
      </c>
      <c r="AI114" s="16">
        <v>0</v>
      </c>
      <c r="AJ114" s="17">
        <v>0</v>
      </c>
      <c r="AK114" s="17">
        <v>0</v>
      </c>
      <c r="AL114" s="17">
        <v>0</v>
      </c>
      <c r="AM114" s="17">
        <v>0</v>
      </c>
      <c r="AN114" s="17">
        <v>0</v>
      </c>
      <c r="AO114" s="17">
        <v>0</v>
      </c>
      <c r="AP114" s="17">
        <v>0</v>
      </c>
      <c r="AQ114" s="17">
        <v>0</v>
      </c>
      <c r="AR114" s="17">
        <v>0</v>
      </c>
      <c r="AS114" s="17">
        <v>1</v>
      </c>
      <c r="AT114" s="17">
        <v>0</v>
      </c>
      <c r="AU114" s="17">
        <v>0</v>
      </c>
      <c r="AV114" s="17">
        <v>0</v>
      </c>
      <c r="AW114" s="17">
        <v>0</v>
      </c>
      <c r="AX114" s="17">
        <v>0</v>
      </c>
      <c r="AY114" s="17">
        <v>0</v>
      </c>
      <c r="AZ114" s="17">
        <v>0</v>
      </c>
      <c r="BA114" s="17">
        <v>0</v>
      </c>
      <c r="BB114" s="17">
        <v>0</v>
      </c>
      <c r="BC114" s="17">
        <v>0</v>
      </c>
      <c r="BD114" s="17">
        <v>0</v>
      </c>
      <c r="BE114" s="17">
        <v>0</v>
      </c>
      <c r="BF114" s="17">
        <v>0</v>
      </c>
      <c r="BG114" s="17">
        <v>0</v>
      </c>
      <c r="BH114" s="17">
        <v>0</v>
      </c>
      <c r="BI114" s="17">
        <v>0</v>
      </c>
      <c r="BJ114" s="17">
        <v>0</v>
      </c>
      <c r="BK114" s="17">
        <v>0</v>
      </c>
      <c r="BL114" s="17">
        <v>0</v>
      </c>
      <c r="BM114" s="17">
        <v>0</v>
      </c>
      <c r="BN114" s="17">
        <v>0</v>
      </c>
      <c r="BO114" s="17">
        <v>0</v>
      </c>
      <c r="BP114" s="17">
        <v>0</v>
      </c>
      <c r="BQ114" s="17">
        <v>0</v>
      </c>
      <c r="BR114" s="17">
        <v>0</v>
      </c>
      <c r="BS114" s="17">
        <v>0</v>
      </c>
      <c r="BT114" s="17">
        <v>0</v>
      </c>
      <c r="BU114" s="17">
        <v>0</v>
      </c>
      <c r="BV114" s="17">
        <v>0</v>
      </c>
      <c r="BW114" s="17">
        <v>0</v>
      </c>
      <c r="BX114" s="17">
        <v>0</v>
      </c>
      <c r="BY114" s="17">
        <v>0</v>
      </c>
      <c r="BZ114" s="17">
        <v>0</v>
      </c>
      <c r="CA114" s="17">
        <v>0</v>
      </c>
      <c r="CB114" s="17">
        <v>0</v>
      </c>
      <c r="CC114" s="17">
        <v>0</v>
      </c>
      <c r="CD114" s="17">
        <v>0</v>
      </c>
      <c r="CE114" s="17">
        <v>0</v>
      </c>
      <c r="CF114" s="17">
        <v>0</v>
      </c>
      <c r="CG114" s="17">
        <v>0</v>
      </c>
      <c r="CH114" s="17">
        <v>0</v>
      </c>
      <c r="CI114" s="17">
        <v>0</v>
      </c>
      <c r="CJ114" s="17">
        <v>0</v>
      </c>
      <c r="CK114" s="18">
        <v>0</v>
      </c>
    </row>
    <row r="115" spans="1:89">
      <c r="A115" s="5" t="s">
        <v>23</v>
      </c>
      <c r="B115" s="44" t="s">
        <v>111</v>
      </c>
      <c r="C115" s="6" t="s">
        <v>117</v>
      </c>
      <c r="D115" s="5">
        <v>100</v>
      </c>
      <c r="E115" s="31">
        <v>0.10828833952335293</v>
      </c>
      <c r="F115" s="38">
        <f t="shared" si="6"/>
        <v>0</v>
      </c>
      <c r="J115" s="44">
        <v>100</v>
      </c>
      <c r="K115" s="54">
        <v>0</v>
      </c>
      <c r="L115" s="17">
        <f t="shared" si="4"/>
        <v>0</v>
      </c>
      <c r="M115" s="52">
        <f t="shared" si="7"/>
        <v>0</v>
      </c>
      <c r="N115" s="18">
        <f t="shared" si="5"/>
        <v>0</v>
      </c>
      <c r="R115" s="60">
        <v>3.6204407172068152E-2</v>
      </c>
      <c r="S115" s="16">
        <v>20</v>
      </c>
      <c r="T115" s="17">
        <v>73</v>
      </c>
      <c r="U115" s="18">
        <v>0.16666666666666666</v>
      </c>
      <c r="W115" s="16">
        <v>0</v>
      </c>
      <c r="X115" s="17">
        <v>0</v>
      </c>
      <c r="Y115" s="17">
        <v>0</v>
      </c>
      <c r="Z115" s="17">
        <v>0</v>
      </c>
      <c r="AA115" s="17">
        <v>0</v>
      </c>
      <c r="AB115" s="17">
        <v>0</v>
      </c>
      <c r="AC115" s="17">
        <v>0</v>
      </c>
      <c r="AD115" s="17">
        <v>0</v>
      </c>
      <c r="AE115" s="17">
        <v>0</v>
      </c>
      <c r="AF115" s="17">
        <v>0</v>
      </c>
      <c r="AG115" s="18">
        <v>1</v>
      </c>
      <c r="AI115" s="16">
        <v>0</v>
      </c>
      <c r="AJ115" s="17">
        <v>0</v>
      </c>
      <c r="AK115" s="17">
        <v>0</v>
      </c>
      <c r="AL115" s="17">
        <v>0</v>
      </c>
      <c r="AM115" s="17">
        <v>0</v>
      </c>
      <c r="AN115" s="17">
        <v>0</v>
      </c>
      <c r="AO115" s="17">
        <v>0</v>
      </c>
      <c r="AP115" s="17">
        <v>0</v>
      </c>
      <c r="AQ115" s="17">
        <v>0</v>
      </c>
      <c r="AR115" s="17">
        <v>0</v>
      </c>
      <c r="AS115" s="17">
        <v>1</v>
      </c>
      <c r="AT115" s="17">
        <v>0</v>
      </c>
      <c r="AU115" s="17">
        <v>0</v>
      </c>
      <c r="AV115" s="17">
        <v>0</v>
      </c>
      <c r="AW115" s="17">
        <v>0</v>
      </c>
      <c r="AX115" s="17">
        <v>0</v>
      </c>
      <c r="AY115" s="17">
        <v>0</v>
      </c>
      <c r="AZ115" s="17">
        <v>0</v>
      </c>
      <c r="BA115" s="17">
        <v>0</v>
      </c>
      <c r="BB115" s="17">
        <v>0</v>
      </c>
      <c r="BC115" s="17">
        <v>0</v>
      </c>
      <c r="BD115" s="17">
        <v>0</v>
      </c>
      <c r="BE115" s="17">
        <v>0</v>
      </c>
      <c r="BF115" s="17">
        <v>0</v>
      </c>
      <c r="BG115" s="17">
        <v>0</v>
      </c>
      <c r="BH115" s="17">
        <v>0</v>
      </c>
      <c r="BI115" s="17">
        <v>0</v>
      </c>
      <c r="BJ115" s="17">
        <v>0</v>
      </c>
      <c r="BK115" s="17">
        <v>0</v>
      </c>
      <c r="BL115" s="17">
        <v>0</v>
      </c>
      <c r="BM115" s="17">
        <v>0</v>
      </c>
      <c r="BN115" s="17">
        <v>0</v>
      </c>
      <c r="BO115" s="17">
        <v>0</v>
      </c>
      <c r="BP115" s="17">
        <v>0</v>
      </c>
      <c r="BQ115" s="17">
        <v>0</v>
      </c>
      <c r="BR115" s="17">
        <v>0</v>
      </c>
      <c r="BS115" s="17">
        <v>0</v>
      </c>
      <c r="BT115" s="17">
        <v>0</v>
      </c>
      <c r="BU115" s="17">
        <v>0</v>
      </c>
      <c r="BV115" s="17">
        <v>0</v>
      </c>
      <c r="BW115" s="17">
        <v>0</v>
      </c>
      <c r="BX115" s="17">
        <v>0</v>
      </c>
      <c r="BY115" s="17">
        <v>0</v>
      </c>
      <c r="BZ115" s="17">
        <v>0</v>
      </c>
      <c r="CA115" s="17">
        <v>0</v>
      </c>
      <c r="CB115" s="17">
        <v>0</v>
      </c>
      <c r="CC115" s="17">
        <v>0</v>
      </c>
      <c r="CD115" s="17">
        <v>0</v>
      </c>
      <c r="CE115" s="17">
        <v>0</v>
      </c>
      <c r="CF115" s="17">
        <v>0</v>
      </c>
      <c r="CG115" s="17">
        <v>0</v>
      </c>
      <c r="CH115" s="17">
        <v>0</v>
      </c>
      <c r="CI115" s="17">
        <v>0</v>
      </c>
      <c r="CJ115" s="17">
        <v>0</v>
      </c>
      <c r="CK115" s="18">
        <v>0</v>
      </c>
    </row>
    <row r="116" spans="1:89">
      <c r="A116" s="5" t="s">
        <v>23</v>
      </c>
      <c r="B116" s="44" t="s">
        <v>111</v>
      </c>
      <c r="C116" s="6" t="s">
        <v>118</v>
      </c>
      <c r="D116" s="5">
        <v>101</v>
      </c>
      <c r="E116" s="31">
        <v>0.10469755159777899</v>
      </c>
      <c r="F116" s="38">
        <f t="shared" si="6"/>
        <v>0</v>
      </c>
      <c r="J116" s="44">
        <v>101</v>
      </c>
      <c r="K116" s="54">
        <v>0</v>
      </c>
      <c r="L116" s="17">
        <f t="shared" si="4"/>
        <v>0</v>
      </c>
      <c r="M116" s="52">
        <f t="shared" si="7"/>
        <v>0</v>
      </c>
      <c r="N116" s="18">
        <f t="shared" si="5"/>
        <v>0</v>
      </c>
      <c r="R116" s="60">
        <v>3.3150788966093102E-2</v>
      </c>
      <c r="S116" s="16">
        <v>21</v>
      </c>
      <c r="T116" s="17">
        <v>18</v>
      </c>
      <c r="U116" s="18">
        <v>0.16666666666666666</v>
      </c>
      <c r="W116" s="16">
        <v>0</v>
      </c>
      <c r="X116" s="17">
        <v>0</v>
      </c>
      <c r="Y116" s="17">
        <v>0</v>
      </c>
      <c r="Z116" s="17">
        <v>0</v>
      </c>
      <c r="AA116" s="17">
        <v>0</v>
      </c>
      <c r="AB116" s="17">
        <v>0</v>
      </c>
      <c r="AC116" s="17">
        <v>0</v>
      </c>
      <c r="AD116" s="17">
        <v>0</v>
      </c>
      <c r="AE116" s="17">
        <v>0</v>
      </c>
      <c r="AF116" s="17">
        <v>0</v>
      </c>
      <c r="AG116" s="18">
        <v>1</v>
      </c>
      <c r="AI116" s="16">
        <v>0</v>
      </c>
      <c r="AJ116" s="17">
        <v>0</v>
      </c>
      <c r="AK116" s="17">
        <v>0</v>
      </c>
      <c r="AL116" s="17">
        <v>0</v>
      </c>
      <c r="AM116" s="17">
        <v>0</v>
      </c>
      <c r="AN116" s="17">
        <v>0</v>
      </c>
      <c r="AO116" s="17">
        <v>0</v>
      </c>
      <c r="AP116" s="17">
        <v>0</v>
      </c>
      <c r="AQ116" s="17">
        <v>0</v>
      </c>
      <c r="AR116" s="17">
        <v>0</v>
      </c>
      <c r="AS116" s="17">
        <v>1</v>
      </c>
      <c r="AT116" s="17">
        <v>0</v>
      </c>
      <c r="AU116" s="17">
        <v>0</v>
      </c>
      <c r="AV116" s="17">
        <v>0</v>
      </c>
      <c r="AW116" s="17">
        <v>0</v>
      </c>
      <c r="AX116" s="17">
        <v>0</v>
      </c>
      <c r="AY116" s="17">
        <v>0</v>
      </c>
      <c r="AZ116" s="17">
        <v>0</v>
      </c>
      <c r="BA116" s="17">
        <v>0</v>
      </c>
      <c r="BB116" s="17">
        <v>0</v>
      </c>
      <c r="BC116" s="17">
        <v>0</v>
      </c>
      <c r="BD116" s="17">
        <v>0</v>
      </c>
      <c r="BE116" s="17">
        <v>0</v>
      </c>
      <c r="BF116" s="17">
        <v>0</v>
      </c>
      <c r="BG116" s="17">
        <v>0</v>
      </c>
      <c r="BH116" s="17">
        <v>0</v>
      </c>
      <c r="BI116" s="17">
        <v>0</v>
      </c>
      <c r="BJ116" s="17">
        <v>0</v>
      </c>
      <c r="BK116" s="17">
        <v>0</v>
      </c>
      <c r="BL116" s="17">
        <v>0</v>
      </c>
      <c r="BM116" s="17">
        <v>0</v>
      </c>
      <c r="BN116" s="17">
        <v>0</v>
      </c>
      <c r="BO116" s="17">
        <v>0</v>
      </c>
      <c r="BP116" s="17">
        <v>0</v>
      </c>
      <c r="BQ116" s="17">
        <v>0</v>
      </c>
      <c r="BR116" s="17">
        <v>0</v>
      </c>
      <c r="BS116" s="17">
        <v>0</v>
      </c>
      <c r="BT116" s="17">
        <v>0</v>
      </c>
      <c r="BU116" s="17">
        <v>0</v>
      </c>
      <c r="BV116" s="17">
        <v>0</v>
      </c>
      <c r="BW116" s="17">
        <v>0</v>
      </c>
      <c r="BX116" s="17">
        <v>0</v>
      </c>
      <c r="BY116" s="17">
        <v>0</v>
      </c>
      <c r="BZ116" s="17">
        <v>0</v>
      </c>
      <c r="CA116" s="17">
        <v>0</v>
      </c>
      <c r="CB116" s="17">
        <v>0</v>
      </c>
      <c r="CC116" s="17">
        <v>0</v>
      </c>
      <c r="CD116" s="17">
        <v>0</v>
      </c>
      <c r="CE116" s="17">
        <v>0</v>
      </c>
      <c r="CF116" s="17">
        <v>0</v>
      </c>
      <c r="CG116" s="17">
        <v>0</v>
      </c>
      <c r="CH116" s="17">
        <v>0</v>
      </c>
      <c r="CI116" s="17">
        <v>0</v>
      </c>
      <c r="CJ116" s="17">
        <v>0</v>
      </c>
      <c r="CK116" s="18">
        <v>0</v>
      </c>
    </row>
    <row r="117" spans="1:89">
      <c r="A117" s="5" t="s">
        <v>23</v>
      </c>
      <c r="B117" s="44" t="s">
        <v>111</v>
      </c>
      <c r="C117" s="6" t="s">
        <v>119</v>
      </c>
      <c r="D117" s="5">
        <v>102</v>
      </c>
      <c r="E117" s="31">
        <v>0.1046600085924604</v>
      </c>
      <c r="F117" s="38">
        <f t="shared" si="6"/>
        <v>0</v>
      </c>
      <c r="J117" s="44">
        <v>102</v>
      </c>
      <c r="K117" s="54">
        <v>0</v>
      </c>
      <c r="L117" s="17">
        <f t="shared" si="4"/>
        <v>0</v>
      </c>
      <c r="M117" s="52">
        <f t="shared" si="7"/>
        <v>0</v>
      </c>
      <c r="N117" s="18">
        <f t="shared" si="5"/>
        <v>0</v>
      </c>
      <c r="R117" s="60">
        <v>2.789481947092325E-2</v>
      </c>
      <c r="S117" s="16">
        <v>21</v>
      </c>
      <c r="T117" s="17">
        <v>19</v>
      </c>
      <c r="U117" s="18">
        <v>0.16666666666666666</v>
      </c>
      <c r="W117" s="16">
        <v>0</v>
      </c>
      <c r="X117" s="17">
        <v>0</v>
      </c>
      <c r="Y117" s="17">
        <v>0</v>
      </c>
      <c r="Z117" s="17">
        <v>0</v>
      </c>
      <c r="AA117" s="17">
        <v>0</v>
      </c>
      <c r="AB117" s="17">
        <v>0</v>
      </c>
      <c r="AC117" s="17">
        <v>0</v>
      </c>
      <c r="AD117" s="17">
        <v>0</v>
      </c>
      <c r="AE117" s="17">
        <v>0</v>
      </c>
      <c r="AF117" s="17">
        <v>0</v>
      </c>
      <c r="AG117" s="18">
        <v>1</v>
      </c>
      <c r="AI117" s="16">
        <v>0</v>
      </c>
      <c r="AJ117" s="17">
        <v>0</v>
      </c>
      <c r="AK117" s="17">
        <v>0</v>
      </c>
      <c r="AL117" s="17">
        <v>0</v>
      </c>
      <c r="AM117" s="17">
        <v>0</v>
      </c>
      <c r="AN117" s="17">
        <v>0</v>
      </c>
      <c r="AO117" s="17">
        <v>0</v>
      </c>
      <c r="AP117" s="17">
        <v>0</v>
      </c>
      <c r="AQ117" s="17">
        <v>0</v>
      </c>
      <c r="AR117" s="17">
        <v>0</v>
      </c>
      <c r="AS117" s="17">
        <v>1</v>
      </c>
      <c r="AT117" s="17">
        <v>0</v>
      </c>
      <c r="AU117" s="17">
        <v>0</v>
      </c>
      <c r="AV117" s="17">
        <v>0</v>
      </c>
      <c r="AW117" s="17">
        <v>0</v>
      </c>
      <c r="AX117" s="17">
        <v>0</v>
      </c>
      <c r="AY117" s="17">
        <v>0</v>
      </c>
      <c r="AZ117" s="17">
        <v>0</v>
      </c>
      <c r="BA117" s="17">
        <v>0</v>
      </c>
      <c r="BB117" s="17">
        <v>0</v>
      </c>
      <c r="BC117" s="17">
        <v>0</v>
      </c>
      <c r="BD117" s="17">
        <v>0</v>
      </c>
      <c r="BE117" s="17">
        <v>0</v>
      </c>
      <c r="BF117" s="17">
        <v>0</v>
      </c>
      <c r="BG117" s="17">
        <v>0</v>
      </c>
      <c r="BH117" s="17">
        <v>0</v>
      </c>
      <c r="BI117" s="17">
        <v>0</v>
      </c>
      <c r="BJ117" s="17">
        <v>0</v>
      </c>
      <c r="BK117" s="17">
        <v>0</v>
      </c>
      <c r="BL117" s="17">
        <v>0</v>
      </c>
      <c r="BM117" s="17">
        <v>0</v>
      </c>
      <c r="BN117" s="17">
        <v>0</v>
      </c>
      <c r="BO117" s="17">
        <v>0</v>
      </c>
      <c r="BP117" s="17">
        <v>0</v>
      </c>
      <c r="BQ117" s="17">
        <v>0</v>
      </c>
      <c r="BR117" s="17">
        <v>0</v>
      </c>
      <c r="BS117" s="17">
        <v>0</v>
      </c>
      <c r="BT117" s="17">
        <v>0</v>
      </c>
      <c r="BU117" s="17">
        <v>0</v>
      </c>
      <c r="BV117" s="17">
        <v>0</v>
      </c>
      <c r="BW117" s="17">
        <v>0</v>
      </c>
      <c r="BX117" s="17">
        <v>0</v>
      </c>
      <c r="BY117" s="17">
        <v>0</v>
      </c>
      <c r="BZ117" s="17">
        <v>0</v>
      </c>
      <c r="CA117" s="17">
        <v>0</v>
      </c>
      <c r="CB117" s="17">
        <v>0</v>
      </c>
      <c r="CC117" s="17">
        <v>0</v>
      </c>
      <c r="CD117" s="17">
        <v>0</v>
      </c>
      <c r="CE117" s="17">
        <v>0</v>
      </c>
      <c r="CF117" s="17">
        <v>0</v>
      </c>
      <c r="CG117" s="17">
        <v>0</v>
      </c>
      <c r="CH117" s="17">
        <v>0</v>
      </c>
      <c r="CI117" s="17">
        <v>0</v>
      </c>
      <c r="CJ117" s="17">
        <v>0</v>
      </c>
      <c r="CK117" s="18">
        <v>0</v>
      </c>
    </row>
    <row r="118" spans="1:89">
      <c r="A118" s="5" t="s">
        <v>23</v>
      </c>
      <c r="B118" s="44" t="s">
        <v>111</v>
      </c>
      <c r="C118" s="6" t="s">
        <v>120</v>
      </c>
      <c r="D118" s="5">
        <v>103</v>
      </c>
      <c r="E118" s="31">
        <v>0.10562269714777392</v>
      </c>
      <c r="F118" s="38">
        <f t="shared" si="6"/>
        <v>0</v>
      </c>
      <c r="J118" s="44">
        <v>103</v>
      </c>
      <c r="K118" s="54">
        <v>0</v>
      </c>
      <c r="L118" s="17">
        <f t="shared" si="4"/>
        <v>0</v>
      </c>
      <c r="M118" s="52">
        <f t="shared" si="7"/>
        <v>0</v>
      </c>
      <c r="N118" s="18">
        <f t="shared" si="5"/>
        <v>0</v>
      </c>
      <c r="R118" s="60">
        <v>3.0464522250090598E-2</v>
      </c>
      <c r="S118" s="16">
        <v>21</v>
      </c>
      <c r="T118" s="17">
        <v>20</v>
      </c>
      <c r="U118" s="18">
        <v>0.16666666666666666</v>
      </c>
      <c r="W118" s="16">
        <v>0</v>
      </c>
      <c r="X118" s="17">
        <v>0</v>
      </c>
      <c r="Y118" s="17">
        <v>0</v>
      </c>
      <c r="Z118" s="17">
        <v>0</v>
      </c>
      <c r="AA118" s="17">
        <v>0</v>
      </c>
      <c r="AB118" s="17">
        <v>0</v>
      </c>
      <c r="AC118" s="17">
        <v>0</v>
      </c>
      <c r="AD118" s="17">
        <v>0</v>
      </c>
      <c r="AE118" s="17">
        <v>0</v>
      </c>
      <c r="AF118" s="17">
        <v>0</v>
      </c>
      <c r="AG118" s="18">
        <v>1</v>
      </c>
      <c r="AI118" s="16">
        <v>0</v>
      </c>
      <c r="AJ118" s="17">
        <v>0</v>
      </c>
      <c r="AK118" s="17">
        <v>0</v>
      </c>
      <c r="AL118" s="17">
        <v>0</v>
      </c>
      <c r="AM118" s="17">
        <v>0</v>
      </c>
      <c r="AN118" s="17">
        <v>0</v>
      </c>
      <c r="AO118" s="17">
        <v>0</v>
      </c>
      <c r="AP118" s="17">
        <v>0</v>
      </c>
      <c r="AQ118" s="17">
        <v>0</v>
      </c>
      <c r="AR118" s="17">
        <v>0</v>
      </c>
      <c r="AS118" s="17">
        <v>1</v>
      </c>
      <c r="AT118" s="17">
        <v>0</v>
      </c>
      <c r="AU118" s="17">
        <v>0</v>
      </c>
      <c r="AV118" s="17">
        <v>0</v>
      </c>
      <c r="AW118" s="17">
        <v>0</v>
      </c>
      <c r="AX118" s="17">
        <v>0</v>
      </c>
      <c r="AY118" s="17">
        <v>0</v>
      </c>
      <c r="AZ118" s="17">
        <v>0</v>
      </c>
      <c r="BA118" s="17">
        <v>0</v>
      </c>
      <c r="BB118" s="17">
        <v>0</v>
      </c>
      <c r="BC118" s="17">
        <v>0</v>
      </c>
      <c r="BD118" s="17">
        <v>0</v>
      </c>
      <c r="BE118" s="17">
        <v>0</v>
      </c>
      <c r="BF118" s="17">
        <v>0</v>
      </c>
      <c r="BG118" s="17">
        <v>0</v>
      </c>
      <c r="BH118" s="17">
        <v>0</v>
      </c>
      <c r="BI118" s="17">
        <v>0</v>
      </c>
      <c r="BJ118" s="17">
        <v>0</v>
      </c>
      <c r="BK118" s="17">
        <v>0</v>
      </c>
      <c r="BL118" s="17">
        <v>0</v>
      </c>
      <c r="BM118" s="17">
        <v>0</v>
      </c>
      <c r="BN118" s="17">
        <v>0</v>
      </c>
      <c r="BO118" s="17">
        <v>0</v>
      </c>
      <c r="BP118" s="17">
        <v>0</v>
      </c>
      <c r="BQ118" s="17">
        <v>0</v>
      </c>
      <c r="BR118" s="17">
        <v>0</v>
      </c>
      <c r="BS118" s="17">
        <v>0</v>
      </c>
      <c r="BT118" s="17">
        <v>0</v>
      </c>
      <c r="BU118" s="17">
        <v>0</v>
      </c>
      <c r="BV118" s="17">
        <v>0</v>
      </c>
      <c r="BW118" s="17">
        <v>0</v>
      </c>
      <c r="BX118" s="17">
        <v>0</v>
      </c>
      <c r="BY118" s="17">
        <v>0</v>
      </c>
      <c r="BZ118" s="17">
        <v>0</v>
      </c>
      <c r="CA118" s="17">
        <v>0</v>
      </c>
      <c r="CB118" s="17">
        <v>0</v>
      </c>
      <c r="CC118" s="17">
        <v>0</v>
      </c>
      <c r="CD118" s="17">
        <v>0</v>
      </c>
      <c r="CE118" s="17">
        <v>0</v>
      </c>
      <c r="CF118" s="17">
        <v>0</v>
      </c>
      <c r="CG118" s="17">
        <v>0</v>
      </c>
      <c r="CH118" s="17">
        <v>0</v>
      </c>
      <c r="CI118" s="17">
        <v>0</v>
      </c>
      <c r="CJ118" s="17">
        <v>0</v>
      </c>
      <c r="CK118" s="18">
        <v>0</v>
      </c>
    </row>
    <row r="119" spans="1:89">
      <c r="A119" s="5" t="s">
        <v>23</v>
      </c>
      <c r="B119" s="44" t="s">
        <v>111</v>
      </c>
      <c r="C119" s="6" t="s">
        <v>121</v>
      </c>
      <c r="D119" s="5">
        <v>104</v>
      </c>
      <c r="E119" s="31">
        <v>0.10403059959641583</v>
      </c>
      <c r="F119" s="38">
        <f t="shared" si="6"/>
        <v>0</v>
      </c>
      <c r="J119" s="44">
        <v>104</v>
      </c>
      <c r="K119" s="54">
        <v>0</v>
      </c>
      <c r="L119" s="17">
        <f t="shared" si="4"/>
        <v>0</v>
      </c>
      <c r="M119" s="52">
        <f t="shared" si="7"/>
        <v>0</v>
      </c>
      <c r="N119" s="18">
        <f t="shared" si="5"/>
        <v>0</v>
      </c>
      <c r="R119" s="60">
        <v>3.0832274412451299E-2</v>
      </c>
      <c r="S119" s="16">
        <v>21</v>
      </c>
      <c r="T119" s="17">
        <v>22</v>
      </c>
      <c r="U119" s="18">
        <v>0.16666666666666666</v>
      </c>
      <c r="W119" s="16">
        <v>0</v>
      </c>
      <c r="X119" s="17">
        <v>0</v>
      </c>
      <c r="Y119" s="17">
        <v>0</v>
      </c>
      <c r="Z119" s="17">
        <v>0</v>
      </c>
      <c r="AA119" s="17">
        <v>0</v>
      </c>
      <c r="AB119" s="17">
        <v>0</v>
      </c>
      <c r="AC119" s="17">
        <v>0</v>
      </c>
      <c r="AD119" s="17">
        <v>0</v>
      </c>
      <c r="AE119" s="17">
        <v>0</v>
      </c>
      <c r="AF119" s="17">
        <v>0</v>
      </c>
      <c r="AG119" s="18">
        <v>1</v>
      </c>
      <c r="AI119" s="16">
        <v>0</v>
      </c>
      <c r="AJ119" s="17">
        <v>0</v>
      </c>
      <c r="AK119" s="17">
        <v>0</v>
      </c>
      <c r="AL119" s="17">
        <v>0</v>
      </c>
      <c r="AM119" s="17">
        <v>0</v>
      </c>
      <c r="AN119" s="17">
        <v>0</v>
      </c>
      <c r="AO119" s="17">
        <v>0</v>
      </c>
      <c r="AP119" s="17">
        <v>0</v>
      </c>
      <c r="AQ119" s="17">
        <v>0</v>
      </c>
      <c r="AR119" s="17">
        <v>0</v>
      </c>
      <c r="AS119" s="17">
        <v>1</v>
      </c>
      <c r="AT119" s="17">
        <v>0</v>
      </c>
      <c r="AU119" s="17">
        <v>0</v>
      </c>
      <c r="AV119" s="17">
        <v>0</v>
      </c>
      <c r="AW119" s="17">
        <v>0</v>
      </c>
      <c r="AX119" s="17">
        <v>0</v>
      </c>
      <c r="AY119" s="17">
        <v>0</v>
      </c>
      <c r="AZ119" s="17">
        <v>0</v>
      </c>
      <c r="BA119" s="17">
        <v>0</v>
      </c>
      <c r="BB119" s="17">
        <v>0</v>
      </c>
      <c r="BC119" s="17">
        <v>0</v>
      </c>
      <c r="BD119" s="17">
        <v>0</v>
      </c>
      <c r="BE119" s="17">
        <v>0</v>
      </c>
      <c r="BF119" s="17">
        <v>0</v>
      </c>
      <c r="BG119" s="17">
        <v>0</v>
      </c>
      <c r="BH119" s="17">
        <v>0</v>
      </c>
      <c r="BI119" s="17">
        <v>0</v>
      </c>
      <c r="BJ119" s="17">
        <v>0</v>
      </c>
      <c r="BK119" s="17">
        <v>0</v>
      </c>
      <c r="BL119" s="17">
        <v>0</v>
      </c>
      <c r="BM119" s="17">
        <v>0</v>
      </c>
      <c r="BN119" s="17">
        <v>0</v>
      </c>
      <c r="BO119" s="17">
        <v>0</v>
      </c>
      <c r="BP119" s="17">
        <v>0</v>
      </c>
      <c r="BQ119" s="17">
        <v>0</v>
      </c>
      <c r="BR119" s="17">
        <v>0</v>
      </c>
      <c r="BS119" s="17">
        <v>0</v>
      </c>
      <c r="BT119" s="17">
        <v>0</v>
      </c>
      <c r="BU119" s="17">
        <v>0</v>
      </c>
      <c r="BV119" s="17">
        <v>0</v>
      </c>
      <c r="BW119" s="17">
        <v>0</v>
      </c>
      <c r="BX119" s="17">
        <v>0</v>
      </c>
      <c r="BY119" s="17">
        <v>0</v>
      </c>
      <c r="BZ119" s="17">
        <v>0</v>
      </c>
      <c r="CA119" s="17">
        <v>0</v>
      </c>
      <c r="CB119" s="17">
        <v>0</v>
      </c>
      <c r="CC119" s="17">
        <v>0</v>
      </c>
      <c r="CD119" s="17">
        <v>0</v>
      </c>
      <c r="CE119" s="17">
        <v>0</v>
      </c>
      <c r="CF119" s="17">
        <v>0</v>
      </c>
      <c r="CG119" s="17">
        <v>0</v>
      </c>
      <c r="CH119" s="17">
        <v>0</v>
      </c>
      <c r="CI119" s="17">
        <v>0</v>
      </c>
      <c r="CJ119" s="17">
        <v>0</v>
      </c>
      <c r="CK119" s="18">
        <v>0</v>
      </c>
    </row>
    <row r="120" spans="1:89">
      <c r="A120" s="5" t="s">
        <v>23</v>
      </c>
      <c r="B120" s="44" t="s">
        <v>111</v>
      </c>
      <c r="C120" s="6" t="s">
        <v>122</v>
      </c>
      <c r="D120" s="5">
        <v>105</v>
      </c>
      <c r="E120" s="31">
        <v>0.10585822641382577</v>
      </c>
      <c r="F120" s="38">
        <f t="shared" si="6"/>
        <v>0</v>
      </c>
      <c r="J120" s="44">
        <v>105</v>
      </c>
      <c r="K120" s="54">
        <v>0</v>
      </c>
      <c r="L120" s="17">
        <f t="shared" si="4"/>
        <v>0</v>
      </c>
      <c r="M120" s="52">
        <f t="shared" si="7"/>
        <v>0</v>
      </c>
      <c r="N120" s="18">
        <f t="shared" si="5"/>
        <v>0</v>
      </c>
      <c r="R120" s="60">
        <v>3.1423699331869448E-2</v>
      </c>
      <c r="S120" s="16">
        <v>21</v>
      </c>
      <c r="T120" s="17">
        <v>25</v>
      </c>
      <c r="U120" s="18">
        <v>0.16666666666666666</v>
      </c>
      <c r="W120" s="16">
        <v>0</v>
      </c>
      <c r="X120" s="17">
        <v>0</v>
      </c>
      <c r="Y120" s="17">
        <v>0</v>
      </c>
      <c r="Z120" s="17">
        <v>0</v>
      </c>
      <c r="AA120" s="17">
        <v>0</v>
      </c>
      <c r="AB120" s="17">
        <v>0</v>
      </c>
      <c r="AC120" s="17">
        <v>0</v>
      </c>
      <c r="AD120" s="17">
        <v>0</v>
      </c>
      <c r="AE120" s="17">
        <v>0</v>
      </c>
      <c r="AF120" s="17">
        <v>0</v>
      </c>
      <c r="AG120" s="18">
        <v>1</v>
      </c>
      <c r="AI120" s="16">
        <v>0</v>
      </c>
      <c r="AJ120" s="17">
        <v>0</v>
      </c>
      <c r="AK120" s="17">
        <v>0</v>
      </c>
      <c r="AL120" s="17">
        <v>0</v>
      </c>
      <c r="AM120" s="17">
        <v>0</v>
      </c>
      <c r="AN120" s="17">
        <v>0</v>
      </c>
      <c r="AO120" s="17">
        <v>0</v>
      </c>
      <c r="AP120" s="17">
        <v>0</v>
      </c>
      <c r="AQ120" s="17">
        <v>0</v>
      </c>
      <c r="AR120" s="17">
        <v>0</v>
      </c>
      <c r="AS120" s="17">
        <v>1</v>
      </c>
      <c r="AT120" s="17">
        <v>0</v>
      </c>
      <c r="AU120" s="17">
        <v>0</v>
      </c>
      <c r="AV120" s="17">
        <v>0</v>
      </c>
      <c r="AW120" s="17">
        <v>0</v>
      </c>
      <c r="AX120" s="17">
        <v>0</v>
      </c>
      <c r="AY120" s="17">
        <v>0</v>
      </c>
      <c r="AZ120" s="17">
        <v>0</v>
      </c>
      <c r="BA120" s="17">
        <v>0</v>
      </c>
      <c r="BB120" s="17">
        <v>0</v>
      </c>
      <c r="BC120" s="17">
        <v>0</v>
      </c>
      <c r="BD120" s="17">
        <v>0</v>
      </c>
      <c r="BE120" s="17">
        <v>0</v>
      </c>
      <c r="BF120" s="17">
        <v>0</v>
      </c>
      <c r="BG120" s="17">
        <v>0</v>
      </c>
      <c r="BH120" s="17">
        <v>0</v>
      </c>
      <c r="BI120" s="17">
        <v>0</v>
      </c>
      <c r="BJ120" s="17">
        <v>0</v>
      </c>
      <c r="BK120" s="17">
        <v>0</v>
      </c>
      <c r="BL120" s="17">
        <v>0</v>
      </c>
      <c r="BM120" s="17">
        <v>0</v>
      </c>
      <c r="BN120" s="17">
        <v>0</v>
      </c>
      <c r="BO120" s="17">
        <v>0</v>
      </c>
      <c r="BP120" s="17">
        <v>0</v>
      </c>
      <c r="BQ120" s="17">
        <v>0</v>
      </c>
      <c r="BR120" s="17">
        <v>0</v>
      </c>
      <c r="BS120" s="17">
        <v>0</v>
      </c>
      <c r="BT120" s="17">
        <v>0</v>
      </c>
      <c r="BU120" s="17">
        <v>0</v>
      </c>
      <c r="BV120" s="17">
        <v>0</v>
      </c>
      <c r="BW120" s="17">
        <v>0</v>
      </c>
      <c r="BX120" s="17">
        <v>0</v>
      </c>
      <c r="BY120" s="17">
        <v>0</v>
      </c>
      <c r="BZ120" s="17">
        <v>0</v>
      </c>
      <c r="CA120" s="17">
        <v>0</v>
      </c>
      <c r="CB120" s="17">
        <v>0</v>
      </c>
      <c r="CC120" s="17">
        <v>0</v>
      </c>
      <c r="CD120" s="17">
        <v>0</v>
      </c>
      <c r="CE120" s="17">
        <v>0</v>
      </c>
      <c r="CF120" s="17">
        <v>0</v>
      </c>
      <c r="CG120" s="17">
        <v>0</v>
      </c>
      <c r="CH120" s="17">
        <v>0</v>
      </c>
      <c r="CI120" s="17">
        <v>0</v>
      </c>
      <c r="CJ120" s="17">
        <v>0</v>
      </c>
      <c r="CK120" s="18">
        <v>0</v>
      </c>
    </row>
    <row r="121" spans="1:89">
      <c r="A121" s="5" t="s">
        <v>23</v>
      </c>
      <c r="B121" s="44" t="s">
        <v>111</v>
      </c>
      <c r="C121" s="6" t="s">
        <v>123</v>
      </c>
      <c r="D121" s="5">
        <v>106</v>
      </c>
      <c r="E121" s="31">
        <v>0.10594947941821928</v>
      </c>
      <c r="F121" s="38">
        <f t="shared" si="6"/>
        <v>0</v>
      </c>
      <c r="J121" s="44">
        <v>106</v>
      </c>
      <c r="K121" s="54">
        <v>0</v>
      </c>
      <c r="L121" s="17">
        <f t="shared" si="4"/>
        <v>0</v>
      </c>
      <c r="M121" s="52">
        <f t="shared" si="7"/>
        <v>0</v>
      </c>
      <c r="N121" s="18">
        <f t="shared" si="5"/>
        <v>0</v>
      </c>
      <c r="R121" s="60">
        <v>3.3734871063028353E-2</v>
      </c>
      <c r="S121" s="16">
        <v>21</v>
      </c>
      <c r="T121" s="17">
        <v>107</v>
      </c>
      <c r="U121" s="18">
        <v>0.16666666666666666</v>
      </c>
      <c r="W121" s="16">
        <v>0</v>
      </c>
      <c r="X121" s="17">
        <v>0</v>
      </c>
      <c r="Y121" s="17">
        <v>0</v>
      </c>
      <c r="Z121" s="17">
        <v>0</v>
      </c>
      <c r="AA121" s="17">
        <v>0</v>
      </c>
      <c r="AB121" s="17">
        <v>0</v>
      </c>
      <c r="AC121" s="17">
        <v>0</v>
      </c>
      <c r="AD121" s="17">
        <v>0</v>
      </c>
      <c r="AE121" s="17">
        <v>0</v>
      </c>
      <c r="AF121" s="17">
        <v>0</v>
      </c>
      <c r="AG121" s="18">
        <v>1</v>
      </c>
      <c r="AI121" s="16">
        <v>0</v>
      </c>
      <c r="AJ121" s="17">
        <v>0</v>
      </c>
      <c r="AK121" s="17">
        <v>0</v>
      </c>
      <c r="AL121" s="17">
        <v>0</v>
      </c>
      <c r="AM121" s="17">
        <v>0</v>
      </c>
      <c r="AN121" s="17">
        <v>0</v>
      </c>
      <c r="AO121" s="17">
        <v>0</v>
      </c>
      <c r="AP121" s="17">
        <v>0</v>
      </c>
      <c r="AQ121" s="17">
        <v>0</v>
      </c>
      <c r="AR121" s="17">
        <v>0</v>
      </c>
      <c r="AS121" s="17">
        <v>1</v>
      </c>
      <c r="AT121" s="17">
        <v>0</v>
      </c>
      <c r="AU121" s="17">
        <v>0</v>
      </c>
      <c r="AV121" s="17">
        <v>0</v>
      </c>
      <c r="AW121" s="17">
        <v>0</v>
      </c>
      <c r="AX121" s="17">
        <v>0</v>
      </c>
      <c r="AY121" s="17">
        <v>0</v>
      </c>
      <c r="AZ121" s="17">
        <v>0</v>
      </c>
      <c r="BA121" s="17">
        <v>0</v>
      </c>
      <c r="BB121" s="17">
        <v>0</v>
      </c>
      <c r="BC121" s="17">
        <v>0</v>
      </c>
      <c r="BD121" s="17">
        <v>0</v>
      </c>
      <c r="BE121" s="17">
        <v>0</v>
      </c>
      <c r="BF121" s="17">
        <v>0</v>
      </c>
      <c r="BG121" s="17">
        <v>0</v>
      </c>
      <c r="BH121" s="17">
        <v>0</v>
      </c>
      <c r="BI121" s="17">
        <v>0</v>
      </c>
      <c r="BJ121" s="17">
        <v>0</v>
      </c>
      <c r="BK121" s="17">
        <v>0</v>
      </c>
      <c r="BL121" s="17">
        <v>0</v>
      </c>
      <c r="BM121" s="17">
        <v>0</v>
      </c>
      <c r="BN121" s="17">
        <v>0</v>
      </c>
      <c r="BO121" s="17">
        <v>0</v>
      </c>
      <c r="BP121" s="17">
        <v>0</v>
      </c>
      <c r="BQ121" s="17">
        <v>0</v>
      </c>
      <c r="BR121" s="17">
        <v>0</v>
      </c>
      <c r="BS121" s="17">
        <v>0</v>
      </c>
      <c r="BT121" s="17">
        <v>0</v>
      </c>
      <c r="BU121" s="17">
        <v>0</v>
      </c>
      <c r="BV121" s="17">
        <v>0</v>
      </c>
      <c r="BW121" s="17">
        <v>0</v>
      </c>
      <c r="BX121" s="17">
        <v>0</v>
      </c>
      <c r="BY121" s="17">
        <v>0</v>
      </c>
      <c r="BZ121" s="17">
        <v>0</v>
      </c>
      <c r="CA121" s="17">
        <v>0</v>
      </c>
      <c r="CB121" s="17">
        <v>0</v>
      </c>
      <c r="CC121" s="17">
        <v>0</v>
      </c>
      <c r="CD121" s="17">
        <v>0</v>
      </c>
      <c r="CE121" s="17">
        <v>0</v>
      </c>
      <c r="CF121" s="17">
        <v>0</v>
      </c>
      <c r="CG121" s="17">
        <v>0</v>
      </c>
      <c r="CH121" s="17">
        <v>0</v>
      </c>
      <c r="CI121" s="17">
        <v>0</v>
      </c>
      <c r="CJ121" s="17">
        <v>0</v>
      </c>
      <c r="CK121" s="18">
        <v>0</v>
      </c>
    </row>
    <row r="122" spans="1:89">
      <c r="A122" s="5" t="s">
        <v>23</v>
      </c>
      <c r="B122" s="44" t="s">
        <v>111</v>
      </c>
      <c r="C122" s="6" t="s">
        <v>124</v>
      </c>
      <c r="D122" s="5">
        <v>107</v>
      </c>
      <c r="E122" s="31">
        <v>0.10282023172305428</v>
      </c>
      <c r="F122" s="38">
        <f t="shared" si="6"/>
        <v>0</v>
      </c>
      <c r="J122" s="44">
        <v>107</v>
      </c>
      <c r="K122" s="54">
        <v>0</v>
      </c>
      <c r="L122" s="17">
        <f t="shared" si="4"/>
        <v>0</v>
      </c>
      <c r="M122" s="52">
        <f t="shared" si="7"/>
        <v>0</v>
      </c>
      <c r="N122" s="18">
        <f t="shared" si="5"/>
        <v>0</v>
      </c>
      <c r="R122" s="60">
        <v>2.7123943350514951E-2</v>
      </c>
      <c r="S122" s="16">
        <v>22</v>
      </c>
      <c r="T122" s="17">
        <v>21</v>
      </c>
      <c r="U122" s="18">
        <v>0.33333333333333331</v>
      </c>
      <c r="W122" s="16">
        <v>0</v>
      </c>
      <c r="X122" s="17">
        <v>0</v>
      </c>
      <c r="Y122" s="17">
        <v>0</v>
      </c>
      <c r="Z122" s="17">
        <v>0</v>
      </c>
      <c r="AA122" s="17">
        <v>0</v>
      </c>
      <c r="AB122" s="17">
        <v>0</v>
      </c>
      <c r="AC122" s="17">
        <v>0</v>
      </c>
      <c r="AD122" s="17">
        <v>0</v>
      </c>
      <c r="AE122" s="17">
        <v>0</v>
      </c>
      <c r="AF122" s="17">
        <v>0</v>
      </c>
      <c r="AG122" s="18">
        <v>1</v>
      </c>
      <c r="AI122" s="16">
        <v>0</v>
      </c>
      <c r="AJ122" s="17">
        <v>0</v>
      </c>
      <c r="AK122" s="17">
        <v>0</v>
      </c>
      <c r="AL122" s="17">
        <v>0</v>
      </c>
      <c r="AM122" s="17">
        <v>0</v>
      </c>
      <c r="AN122" s="17">
        <v>0</v>
      </c>
      <c r="AO122" s="17">
        <v>0</v>
      </c>
      <c r="AP122" s="17">
        <v>0</v>
      </c>
      <c r="AQ122" s="17">
        <v>0</v>
      </c>
      <c r="AR122" s="17">
        <v>0</v>
      </c>
      <c r="AS122" s="17">
        <v>1</v>
      </c>
      <c r="AT122" s="17">
        <v>0</v>
      </c>
      <c r="AU122" s="17">
        <v>0</v>
      </c>
      <c r="AV122" s="17">
        <v>0</v>
      </c>
      <c r="AW122" s="17">
        <v>0</v>
      </c>
      <c r="AX122" s="17">
        <v>0</v>
      </c>
      <c r="AY122" s="17">
        <v>0</v>
      </c>
      <c r="AZ122" s="17">
        <v>0</v>
      </c>
      <c r="BA122" s="17">
        <v>0</v>
      </c>
      <c r="BB122" s="17">
        <v>0</v>
      </c>
      <c r="BC122" s="17">
        <v>0</v>
      </c>
      <c r="BD122" s="17">
        <v>0</v>
      </c>
      <c r="BE122" s="17">
        <v>0</v>
      </c>
      <c r="BF122" s="17">
        <v>0</v>
      </c>
      <c r="BG122" s="17">
        <v>0</v>
      </c>
      <c r="BH122" s="17">
        <v>0</v>
      </c>
      <c r="BI122" s="17">
        <v>0</v>
      </c>
      <c r="BJ122" s="17">
        <v>0</v>
      </c>
      <c r="BK122" s="17">
        <v>0</v>
      </c>
      <c r="BL122" s="17">
        <v>0</v>
      </c>
      <c r="BM122" s="17">
        <v>0</v>
      </c>
      <c r="BN122" s="17">
        <v>0</v>
      </c>
      <c r="BO122" s="17">
        <v>0</v>
      </c>
      <c r="BP122" s="17">
        <v>0</v>
      </c>
      <c r="BQ122" s="17">
        <v>0</v>
      </c>
      <c r="BR122" s="17">
        <v>0</v>
      </c>
      <c r="BS122" s="17">
        <v>0</v>
      </c>
      <c r="BT122" s="17">
        <v>0</v>
      </c>
      <c r="BU122" s="17">
        <v>0</v>
      </c>
      <c r="BV122" s="17">
        <v>0</v>
      </c>
      <c r="BW122" s="17">
        <v>0</v>
      </c>
      <c r="BX122" s="17">
        <v>0</v>
      </c>
      <c r="BY122" s="17">
        <v>0</v>
      </c>
      <c r="BZ122" s="17">
        <v>0</v>
      </c>
      <c r="CA122" s="17">
        <v>0</v>
      </c>
      <c r="CB122" s="17">
        <v>0</v>
      </c>
      <c r="CC122" s="17">
        <v>0</v>
      </c>
      <c r="CD122" s="17">
        <v>0</v>
      </c>
      <c r="CE122" s="17">
        <v>0</v>
      </c>
      <c r="CF122" s="17">
        <v>0</v>
      </c>
      <c r="CG122" s="17">
        <v>0</v>
      </c>
      <c r="CH122" s="17">
        <v>0</v>
      </c>
      <c r="CI122" s="17">
        <v>0</v>
      </c>
      <c r="CJ122" s="17">
        <v>0</v>
      </c>
      <c r="CK122" s="18">
        <v>0</v>
      </c>
    </row>
    <row r="123" spans="1:89" ht="15.75" thickBot="1">
      <c r="A123" s="7" t="s">
        <v>23</v>
      </c>
      <c r="B123" s="45" t="s">
        <v>111</v>
      </c>
      <c r="C123" s="8" t="s">
        <v>125</v>
      </c>
      <c r="D123" s="7">
        <v>108</v>
      </c>
      <c r="E123" s="32">
        <v>0.10579898983471392</v>
      </c>
      <c r="F123" s="39">
        <f t="shared" si="6"/>
        <v>0</v>
      </c>
      <c r="J123" s="45">
        <v>108</v>
      </c>
      <c r="K123" s="54">
        <v>0</v>
      </c>
      <c r="L123" s="20">
        <f t="shared" si="4"/>
        <v>0</v>
      </c>
      <c r="M123" s="53">
        <f t="shared" si="7"/>
        <v>0</v>
      </c>
      <c r="N123" s="21">
        <f t="shared" si="5"/>
        <v>0</v>
      </c>
      <c r="R123" s="51">
        <v>3.2494711014071101E-2</v>
      </c>
      <c r="S123" s="16">
        <v>22</v>
      </c>
      <c r="T123" s="17">
        <v>25</v>
      </c>
      <c r="U123" s="18">
        <v>0.33333333333333331</v>
      </c>
      <c r="W123" s="19">
        <v>0</v>
      </c>
      <c r="X123" s="20">
        <v>0</v>
      </c>
      <c r="Y123" s="20">
        <v>0</v>
      </c>
      <c r="Z123" s="20">
        <v>0</v>
      </c>
      <c r="AA123" s="20">
        <v>0</v>
      </c>
      <c r="AB123" s="20">
        <v>0</v>
      </c>
      <c r="AC123" s="20">
        <v>0</v>
      </c>
      <c r="AD123" s="20">
        <v>0</v>
      </c>
      <c r="AE123" s="20">
        <v>0</v>
      </c>
      <c r="AF123" s="20">
        <v>0</v>
      </c>
      <c r="AG123" s="21">
        <v>1</v>
      </c>
      <c r="AI123" s="19">
        <v>0</v>
      </c>
      <c r="AJ123" s="20">
        <v>0</v>
      </c>
      <c r="AK123" s="20">
        <v>0</v>
      </c>
      <c r="AL123" s="20">
        <v>0</v>
      </c>
      <c r="AM123" s="20">
        <v>0</v>
      </c>
      <c r="AN123" s="20">
        <v>0</v>
      </c>
      <c r="AO123" s="20">
        <v>0</v>
      </c>
      <c r="AP123" s="20">
        <v>0</v>
      </c>
      <c r="AQ123" s="20">
        <v>0</v>
      </c>
      <c r="AR123" s="20">
        <v>0</v>
      </c>
      <c r="AS123" s="20">
        <v>1</v>
      </c>
      <c r="AT123" s="20">
        <v>0</v>
      </c>
      <c r="AU123" s="20">
        <v>0</v>
      </c>
      <c r="AV123" s="20">
        <v>0</v>
      </c>
      <c r="AW123" s="20">
        <v>0</v>
      </c>
      <c r="AX123" s="20">
        <v>0</v>
      </c>
      <c r="AY123" s="20">
        <v>0</v>
      </c>
      <c r="AZ123" s="20">
        <v>0</v>
      </c>
      <c r="BA123" s="20">
        <v>0</v>
      </c>
      <c r="BB123" s="20">
        <v>0</v>
      </c>
      <c r="BC123" s="20">
        <v>0</v>
      </c>
      <c r="BD123" s="20">
        <v>0</v>
      </c>
      <c r="BE123" s="20">
        <v>0</v>
      </c>
      <c r="BF123" s="20">
        <v>0</v>
      </c>
      <c r="BG123" s="20">
        <v>0</v>
      </c>
      <c r="BH123" s="20">
        <v>0</v>
      </c>
      <c r="BI123" s="20">
        <v>0</v>
      </c>
      <c r="BJ123" s="20">
        <v>0</v>
      </c>
      <c r="BK123" s="20">
        <v>0</v>
      </c>
      <c r="BL123" s="20">
        <v>0</v>
      </c>
      <c r="BM123" s="20">
        <v>0</v>
      </c>
      <c r="BN123" s="20">
        <v>0</v>
      </c>
      <c r="BO123" s="20">
        <v>0</v>
      </c>
      <c r="BP123" s="20">
        <v>0</v>
      </c>
      <c r="BQ123" s="20">
        <v>0</v>
      </c>
      <c r="BR123" s="20">
        <v>0</v>
      </c>
      <c r="BS123" s="20">
        <v>0</v>
      </c>
      <c r="BT123" s="20">
        <v>0</v>
      </c>
      <c r="BU123" s="20">
        <v>0</v>
      </c>
      <c r="BV123" s="20">
        <v>0</v>
      </c>
      <c r="BW123" s="20">
        <v>0</v>
      </c>
      <c r="BX123" s="20">
        <v>0</v>
      </c>
      <c r="BY123" s="20">
        <v>0</v>
      </c>
      <c r="BZ123" s="20">
        <v>0</v>
      </c>
      <c r="CA123" s="20">
        <v>0</v>
      </c>
      <c r="CB123" s="20">
        <v>0</v>
      </c>
      <c r="CC123" s="20">
        <v>0</v>
      </c>
      <c r="CD123" s="20">
        <v>0</v>
      </c>
      <c r="CE123" s="20">
        <v>0</v>
      </c>
      <c r="CF123" s="20">
        <v>0</v>
      </c>
      <c r="CG123" s="20">
        <v>0</v>
      </c>
      <c r="CH123" s="20">
        <v>0</v>
      </c>
      <c r="CI123" s="20">
        <v>0</v>
      </c>
      <c r="CJ123" s="20">
        <v>0</v>
      </c>
      <c r="CK123" s="21">
        <v>0</v>
      </c>
    </row>
    <row r="124" spans="1:89">
      <c r="S124" s="16">
        <v>22</v>
      </c>
      <c r="T124" s="17">
        <v>107</v>
      </c>
      <c r="U124" s="18">
        <v>0.33333333333333331</v>
      </c>
    </row>
    <row r="125" spans="1:89">
      <c r="S125" s="16">
        <v>23</v>
      </c>
      <c r="T125" s="17">
        <v>15</v>
      </c>
      <c r="U125" s="18">
        <v>0.2</v>
      </c>
    </row>
    <row r="126" spans="1:89">
      <c r="S126" s="16">
        <v>23</v>
      </c>
      <c r="T126" s="17">
        <v>16</v>
      </c>
      <c r="U126" s="18">
        <v>0.2</v>
      </c>
    </row>
    <row r="127" spans="1:89">
      <c r="S127" s="16">
        <v>23</v>
      </c>
      <c r="T127" s="17">
        <v>19</v>
      </c>
      <c r="U127" s="18">
        <v>0.2</v>
      </c>
    </row>
    <row r="128" spans="1:89">
      <c r="S128" s="16">
        <v>23</v>
      </c>
      <c r="T128" s="17">
        <v>24</v>
      </c>
      <c r="U128" s="18">
        <v>0.2</v>
      </c>
    </row>
    <row r="129" spans="19:21">
      <c r="S129" s="16">
        <v>23</v>
      </c>
      <c r="T129" s="17">
        <v>34</v>
      </c>
      <c r="U129" s="18">
        <v>0.2</v>
      </c>
    </row>
    <row r="130" spans="19:21">
      <c r="S130" s="16">
        <v>24</v>
      </c>
      <c r="T130" s="17">
        <v>15</v>
      </c>
      <c r="U130" s="18">
        <v>0.2</v>
      </c>
    </row>
    <row r="131" spans="19:21">
      <c r="S131" s="16">
        <v>24</v>
      </c>
      <c r="T131" s="17">
        <v>16</v>
      </c>
      <c r="U131" s="18">
        <v>0.2</v>
      </c>
    </row>
    <row r="132" spans="19:21">
      <c r="S132" s="16">
        <v>24</v>
      </c>
      <c r="T132" s="17">
        <v>23</v>
      </c>
      <c r="U132" s="18">
        <v>0.2</v>
      </c>
    </row>
    <row r="133" spans="19:21">
      <c r="S133" s="16">
        <v>24</v>
      </c>
      <c r="T133" s="17">
        <v>31</v>
      </c>
      <c r="U133" s="18">
        <v>0.2</v>
      </c>
    </row>
    <row r="134" spans="19:21">
      <c r="S134" s="16">
        <v>24</v>
      </c>
      <c r="T134" s="17">
        <v>71</v>
      </c>
      <c r="U134" s="18">
        <v>0.2</v>
      </c>
    </row>
    <row r="135" spans="19:21">
      <c r="S135" s="16">
        <v>25</v>
      </c>
      <c r="T135" s="17">
        <v>17</v>
      </c>
      <c r="U135" s="18">
        <v>0.2</v>
      </c>
    </row>
    <row r="136" spans="19:21">
      <c r="S136" s="16">
        <v>25</v>
      </c>
      <c r="T136" s="17">
        <v>18</v>
      </c>
      <c r="U136" s="18">
        <v>0.2</v>
      </c>
    </row>
    <row r="137" spans="19:21">
      <c r="S137" s="16">
        <v>25</v>
      </c>
      <c r="T137" s="17">
        <v>21</v>
      </c>
      <c r="U137" s="18">
        <v>0.2</v>
      </c>
    </row>
    <row r="138" spans="19:21">
      <c r="S138" s="16">
        <v>25</v>
      </c>
      <c r="T138" s="17">
        <v>22</v>
      </c>
      <c r="U138" s="18">
        <v>0.2</v>
      </c>
    </row>
    <row r="139" spans="19:21">
      <c r="S139" s="16">
        <v>25</v>
      </c>
      <c r="T139" s="17">
        <v>26</v>
      </c>
      <c r="U139" s="18">
        <v>0.2</v>
      </c>
    </row>
    <row r="140" spans="19:21">
      <c r="S140" s="16">
        <v>26</v>
      </c>
      <c r="T140" s="17">
        <v>17</v>
      </c>
      <c r="U140" s="18">
        <v>0.33333333333333331</v>
      </c>
    </row>
    <row r="141" spans="19:21">
      <c r="S141" s="16">
        <v>26</v>
      </c>
      <c r="T141" s="17">
        <v>25</v>
      </c>
      <c r="U141" s="18">
        <v>0.33333333333333331</v>
      </c>
    </row>
    <row r="142" spans="19:21">
      <c r="S142" s="16">
        <v>26</v>
      </c>
      <c r="T142" s="17">
        <v>29</v>
      </c>
      <c r="U142" s="18">
        <v>0.33333333333333331</v>
      </c>
    </row>
    <row r="143" spans="19:21">
      <c r="S143" s="16">
        <v>27</v>
      </c>
      <c r="T143" s="17">
        <v>17</v>
      </c>
      <c r="U143" s="18">
        <v>0.33333333333333331</v>
      </c>
    </row>
    <row r="144" spans="19:21">
      <c r="S144" s="16">
        <v>27</v>
      </c>
      <c r="T144" s="17">
        <v>28</v>
      </c>
      <c r="U144" s="18">
        <v>0.33333333333333331</v>
      </c>
    </row>
    <row r="145" spans="19:21">
      <c r="S145" s="16">
        <v>27</v>
      </c>
      <c r="T145" s="17">
        <v>29</v>
      </c>
      <c r="U145" s="18">
        <v>0.33333333333333331</v>
      </c>
    </row>
    <row r="146" spans="19:21">
      <c r="S146" s="16">
        <v>28</v>
      </c>
      <c r="T146" s="17">
        <v>17</v>
      </c>
      <c r="U146" s="18">
        <v>0.2</v>
      </c>
    </row>
    <row r="147" spans="19:21">
      <c r="S147" s="16">
        <v>28</v>
      </c>
      <c r="T147" s="17">
        <v>27</v>
      </c>
      <c r="U147" s="18">
        <v>0.2</v>
      </c>
    </row>
    <row r="148" spans="19:21">
      <c r="S148" s="16">
        <v>28</v>
      </c>
      <c r="T148" s="17">
        <v>74</v>
      </c>
      <c r="U148" s="18">
        <v>0.2</v>
      </c>
    </row>
    <row r="149" spans="19:21">
      <c r="S149" s="16">
        <v>28</v>
      </c>
      <c r="T149" s="17">
        <v>75</v>
      </c>
      <c r="U149" s="18">
        <v>0.2</v>
      </c>
    </row>
    <row r="150" spans="19:21">
      <c r="S150" s="16">
        <v>28</v>
      </c>
      <c r="T150" s="17">
        <v>77</v>
      </c>
      <c r="U150" s="18">
        <v>0.2</v>
      </c>
    </row>
    <row r="151" spans="19:21">
      <c r="S151" s="16">
        <v>29</v>
      </c>
      <c r="T151" s="17">
        <v>17</v>
      </c>
      <c r="U151" s="18">
        <v>0.33333333333333331</v>
      </c>
    </row>
    <row r="152" spans="19:21">
      <c r="S152" s="16">
        <v>29</v>
      </c>
      <c r="T152" s="17">
        <v>26</v>
      </c>
      <c r="U152" s="18">
        <v>0.33333333333333331</v>
      </c>
    </row>
    <row r="153" spans="19:21">
      <c r="S153" s="16">
        <v>29</v>
      </c>
      <c r="T153" s="17">
        <v>27</v>
      </c>
      <c r="U153" s="18">
        <v>0.33333333333333331</v>
      </c>
    </row>
    <row r="154" spans="19:21">
      <c r="S154" s="16">
        <v>30</v>
      </c>
      <c r="T154" s="17">
        <v>32</v>
      </c>
      <c r="U154" s="18">
        <v>0.25</v>
      </c>
    </row>
    <row r="155" spans="19:21">
      <c r="S155" s="16">
        <v>30</v>
      </c>
      <c r="T155" s="17">
        <v>33</v>
      </c>
      <c r="U155" s="18">
        <v>0.25</v>
      </c>
    </row>
    <row r="156" spans="19:21">
      <c r="S156" s="16">
        <v>30</v>
      </c>
      <c r="T156" s="17">
        <v>35</v>
      </c>
      <c r="U156" s="18">
        <v>0.25</v>
      </c>
    </row>
    <row r="157" spans="19:21">
      <c r="S157" s="16">
        <v>30</v>
      </c>
      <c r="T157" s="17">
        <v>65</v>
      </c>
      <c r="U157" s="18">
        <v>0.25</v>
      </c>
    </row>
    <row r="158" spans="19:21">
      <c r="S158" s="16">
        <v>31</v>
      </c>
      <c r="T158" s="17">
        <v>16</v>
      </c>
      <c r="U158" s="18">
        <v>0.16666666666666666</v>
      </c>
    </row>
    <row r="159" spans="19:21">
      <c r="S159" s="16">
        <v>31</v>
      </c>
      <c r="T159" s="17">
        <v>24</v>
      </c>
      <c r="U159" s="18">
        <v>0.16666666666666666</v>
      </c>
    </row>
    <row r="160" spans="19:21">
      <c r="S160" s="16">
        <v>31</v>
      </c>
      <c r="T160" s="17">
        <v>32</v>
      </c>
      <c r="U160" s="18">
        <v>0.16666666666666666</v>
      </c>
    </row>
    <row r="161" spans="19:21">
      <c r="S161" s="16">
        <v>31</v>
      </c>
      <c r="T161" s="17">
        <v>33</v>
      </c>
      <c r="U161" s="18">
        <v>0.16666666666666666</v>
      </c>
    </row>
    <row r="162" spans="19:21">
      <c r="S162" s="16">
        <v>31</v>
      </c>
      <c r="T162" s="17">
        <v>34</v>
      </c>
      <c r="U162" s="18">
        <v>0.16666666666666666</v>
      </c>
    </row>
    <row r="163" spans="19:21">
      <c r="S163" s="16">
        <v>31</v>
      </c>
      <c r="T163" s="17">
        <v>71</v>
      </c>
      <c r="U163" s="18">
        <v>0.16666666666666666</v>
      </c>
    </row>
    <row r="164" spans="19:21">
      <c r="S164" s="16">
        <v>32</v>
      </c>
      <c r="T164" s="17">
        <v>30</v>
      </c>
      <c r="U164" s="18">
        <v>0.25</v>
      </c>
    </row>
    <row r="165" spans="19:21">
      <c r="S165" s="16">
        <v>32</v>
      </c>
      <c r="T165" s="17">
        <v>31</v>
      </c>
      <c r="U165" s="18">
        <v>0.25</v>
      </c>
    </row>
    <row r="166" spans="19:21">
      <c r="S166" s="16">
        <v>32</v>
      </c>
      <c r="T166" s="17">
        <v>33</v>
      </c>
      <c r="U166" s="18">
        <v>0.25</v>
      </c>
    </row>
    <row r="167" spans="19:21">
      <c r="S167" s="16">
        <v>32</v>
      </c>
      <c r="T167" s="17">
        <v>71</v>
      </c>
      <c r="U167" s="18">
        <v>0.25</v>
      </c>
    </row>
    <row r="168" spans="19:21">
      <c r="S168" s="16">
        <v>33</v>
      </c>
      <c r="T168" s="17">
        <v>19</v>
      </c>
      <c r="U168" s="18">
        <v>9.0909090909090912E-2</v>
      </c>
    </row>
    <row r="169" spans="19:21">
      <c r="S169" s="16">
        <v>33</v>
      </c>
      <c r="T169" s="17">
        <v>30</v>
      </c>
      <c r="U169" s="18">
        <v>9.0909090909090912E-2</v>
      </c>
    </row>
    <row r="170" spans="19:21">
      <c r="S170" s="16">
        <v>33</v>
      </c>
      <c r="T170" s="17">
        <v>31</v>
      </c>
      <c r="U170" s="18">
        <v>9.0909090909090912E-2</v>
      </c>
    </row>
    <row r="171" spans="19:21">
      <c r="S171" s="16">
        <v>33</v>
      </c>
      <c r="T171" s="17">
        <v>32</v>
      </c>
      <c r="U171" s="18">
        <v>9.0909090909090912E-2</v>
      </c>
    </row>
    <row r="172" spans="19:21">
      <c r="S172" s="16">
        <v>33</v>
      </c>
      <c r="T172" s="17">
        <v>34</v>
      </c>
      <c r="U172" s="18">
        <v>9.0909090909090912E-2</v>
      </c>
    </row>
    <row r="173" spans="19:21">
      <c r="S173" s="16">
        <v>33</v>
      </c>
      <c r="T173" s="17">
        <v>57</v>
      </c>
      <c r="U173" s="18">
        <v>9.0909090909090912E-2</v>
      </c>
    </row>
    <row r="174" spans="19:21">
      <c r="S174" s="16">
        <v>33</v>
      </c>
      <c r="T174" s="17">
        <v>59</v>
      </c>
      <c r="U174" s="18">
        <v>9.0909090909090912E-2</v>
      </c>
    </row>
    <row r="175" spans="19:21">
      <c r="S175" s="16">
        <v>33</v>
      </c>
      <c r="T175" s="17">
        <v>65</v>
      </c>
      <c r="U175" s="18">
        <v>9.0909090909090912E-2</v>
      </c>
    </row>
    <row r="176" spans="19:21">
      <c r="S176" s="16">
        <v>33</v>
      </c>
      <c r="T176" s="17">
        <v>101</v>
      </c>
      <c r="U176" s="18">
        <v>9.0909090909090912E-2</v>
      </c>
    </row>
    <row r="177" spans="19:21">
      <c r="S177" s="16">
        <v>33</v>
      </c>
      <c r="T177" s="17">
        <v>104</v>
      </c>
      <c r="U177" s="18">
        <v>9.0909090909090912E-2</v>
      </c>
    </row>
    <row r="178" spans="19:21">
      <c r="S178" s="16">
        <v>33</v>
      </c>
      <c r="T178" s="17">
        <v>108</v>
      </c>
      <c r="U178" s="18">
        <v>9.0909090909090912E-2</v>
      </c>
    </row>
    <row r="179" spans="19:21">
      <c r="S179" s="16">
        <v>34</v>
      </c>
      <c r="T179" s="17">
        <v>16</v>
      </c>
      <c r="U179" s="18">
        <v>0.14285714285714285</v>
      </c>
    </row>
    <row r="180" spans="19:21">
      <c r="S180" s="16">
        <v>34</v>
      </c>
      <c r="T180" s="17">
        <v>19</v>
      </c>
      <c r="U180" s="18">
        <v>0.14285714285714285</v>
      </c>
    </row>
    <row r="181" spans="19:21">
      <c r="S181" s="16">
        <v>34</v>
      </c>
      <c r="T181" s="17">
        <v>23</v>
      </c>
      <c r="U181" s="18">
        <v>0.14285714285714285</v>
      </c>
    </row>
    <row r="182" spans="19:21">
      <c r="S182" s="16">
        <v>34</v>
      </c>
      <c r="T182" s="17">
        <v>31</v>
      </c>
      <c r="U182" s="18">
        <v>0.14285714285714285</v>
      </c>
    </row>
    <row r="183" spans="19:21">
      <c r="S183" s="16">
        <v>34</v>
      </c>
      <c r="T183" s="17">
        <v>33</v>
      </c>
      <c r="U183" s="18">
        <v>0.14285714285714285</v>
      </c>
    </row>
    <row r="184" spans="19:21">
      <c r="S184" s="16">
        <v>34</v>
      </c>
      <c r="T184" s="17">
        <v>104</v>
      </c>
      <c r="U184" s="18">
        <v>0.14285714285714285</v>
      </c>
    </row>
    <row r="185" spans="19:21">
      <c r="S185" s="16">
        <v>34</v>
      </c>
      <c r="T185" s="17">
        <v>108</v>
      </c>
      <c r="U185" s="18">
        <v>0.14285714285714285</v>
      </c>
    </row>
    <row r="186" spans="19:21">
      <c r="S186" s="16">
        <v>35</v>
      </c>
      <c r="T186" s="17">
        <v>30</v>
      </c>
      <c r="U186" s="18">
        <v>0.25</v>
      </c>
    </row>
    <row r="187" spans="19:21">
      <c r="S187" s="16">
        <v>35</v>
      </c>
      <c r="T187" s="17">
        <v>65</v>
      </c>
      <c r="U187" s="18">
        <v>0.25</v>
      </c>
    </row>
    <row r="188" spans="19:21">
      <c r="S188" s="16">
        <v>35</v>
      </c>
      <c r="T188" s="17">
        <v>66</v>
      </c>
      <c r="U188" s="18">
        <v>0.25</v>
      </c>
    </row>
    <row r="189" spans="19:21">
      <c r="S189" s="16">
        <v>35</v>
      </c>
      <c r="T189" s="17">
        <v>68</v>
      </c>
      <c r="U189" s="18">
        <v>0.25</v>
      </c>
    </row>
    <row r="190" spans="19:21">
      <c r="S190" s="16">
        <v>36</v>
      </c>
      <c r="T190" s="17">
        <v>37</v>
      </c>
      <c r="U190" s="18">
        <v>0.125</v>
      </c>
    </row>
    <row r="191" spans="19:21">
      <c r="S191" s="16">
        <v>36</v>
      </c>
      <c r="T191" s="17">
        <v>41</v>
      </c>
      <c r="U191" s="18">
        <v>0.125</v>
      </c>
    </row>
    <row r="192" spans="19:21">
      <c r="S192" s="16">
        <v>36</v>
      </c>
      <c r="T192" s="17">
        <v>43</v>
      </c>
      <c r="U192" s="18">
        <v>0.125</v>
      </c>
    </row>
    <row r="193" spans="19:21">
      <c r="S193" s="16">
        <v>36</v>
      </c>
      <c r="T193" s="17">
        <v>45</v>
      </c>
      <c r="U193" s="18">
        <v>0.125</v>
      </c>
    </row>
    <row r="194" spans="19:21">
      <c r="S194" s="16">
        <v>36</v>
      </c>
      <c r="T194" s="17">
        <v>46</v>
      </c>
      <c r="U194" s="18">
        <v>0.125</v>
      </c>
    </row>
    <row r="195" spans="19:21">
      <c r="S195" s="16">
        <v>36</v>
      </c>
      <c r="T195" s="17">
        <v>47</v>
      </c>
      <c r="U195" s="18">
        <v>0.125</v>
      </c>
    </row>
    <row r="196" spans="19:21">
      <c r="S196" s="16">
        <v>36</v>
      </c>
      <c r="T196" s="17">
        <v>50</v>
      </c>
      <c r="U196" s="18">
        <v>0.125</v>
      </c>
    </row>
    <row r="197" spans="19:21">
      <c r="S197" s="16">
        <v>36</v>
      </c>
      <c r="T197" s="17">
        <v>53</v>
      </c>
      <c r="U197" s="18">
        <v>0.125</v>
      </c>
    </row>
    <row r="198" spans="19:21">
      <c r="S198" s="16">
        <v>37</v>
      </c>
      <c r="T198" s="17">
        <v>36</v>
      </c>
      <c r="U198" s="18">
        <v>0.25</v>
      </c>
    </row>
    <row r="199" spans="19:21">
      <c r="S199" s="16">
        <v>37</v>
      </c>
      <c r="T199" s="17">
        <v>43</v>
      </c>
      <c r="U199" s="18">
        <v>0.25</v>
      </c>
    </row>
    <row r="200" spans="19:21">
      <c r="S200" s="16">
        <v>37</v>
      </c>
      <c r="T200" s="17">
        <v>44</v>
      </c>
      <c r="U200" s="18">
        <v>0.25</v>
      </c>
    </row>
    <row r="201" spans="19:21">
      <c r="S201" s="16">
        <v>37</v>
      </c>
      <c r="T201" s="17">
        <v>53</v>
      </c>
      <c r="U201" s="18">
        <v>0.25</v>
      </c>
    </row>
    <row r="202" spans="19:21">
      <c r="S202" s="16">
        <v>38</v>
      </c>
      <c r="T202" s="17">
        <v>52</v>
      </c>
      <c r="U202" s="18">
        <v>1</v>
      </c>
    </row>
    <row r="203" spans="19:21">
      <c r="S203" s="16">
        <v>39</v>
      </c>
      <c r="T203" s="17">
        <v>46</v>
      </c>
      <c r="U203" s="18">
        <v>0.25</v>
      </c>
    </row>
    <row r="204" spans="19:21">
      <c r="S204" s="16">
        <v>39</v>
      </c>
      <c r="T204" s="17">
        <v>48</v>
      </c>
      <c r="U204" s="18">
        <v>0.25</v>
      </c>
    </row>
    <row r="205" spans="19:21">
      <c r="S205" s="16">
        <v>39</v>
      </c>
      <c r="T205" s="17">
        <v>49</v>
      </c>
      <c r="U205" s="18">
        <v>0.25</v>
      </c>
    </row>
    <row r="206" spans="19:21">
      <c r="S206" s="16">
        <v>39</v>
      </c>
      <c r="T206" s="17">
        <v>51</v>
      </c>
      <c r="U206" s="18">
        <v>0.25</v>
      </c>
    </row>
    <row r="207" spans="19:21">
      <c r="S207" s="16">
        <v>40</v>
      </c>
      <c r="T207" s="17">
        <v>42</v>
      </c>
      <c r="U207" s="18">
        <v>0.2</v>
      </c>
    </row>
    <row r="208" spans="19:21">
      <c r="S208" s="16">
        <v>40</v>
      </c>
      <c r="T208" s="17">
        <v>45</v>
      </c>
      <c r="U208" s="18">
        <v>0.2</v>
      </c>
    </row>
    <row r="209" spans="19:21">
      <c r="S209" s="16">
        <v>40</v>
      </c>
      <c r="T209" s="17">
        <v>47</v>
      </c>
      <c r="U209" s="18">
        <v>0.2</v>
      </c>
    </row>
    <row r="210" spans="19:21">
      <c r="S210" s="16">
        <v>40</v>
      </c>
      <c r="T210" s="17">
        <v>51</v>
      </c>
      <c r="U210" s="18">
        <v>0.2</v>
      </c>
    </row>
    <row r="211" spans="19:21">
      <c r="S211" s="16">
        <v>40</v>
      </c>
      <c r="T211" s="17">
        <v>52</v>
      </c>
      <c r="U211" s="18">
        <v>0.2</v>
      </c>
    </row>
    <row r="212" spans="19:21">
      <c r="S212" s="16">
        <v>41</v>
      </c>
      <c r="T212" s="17">
        <v>36</v>
      </c>
      <c r="U212" s="18">
        <v>0.33333333333333331</v>
      </c>
    </row>
    <row r="213" spans="19:21">
      <c r="S213" s="16">
        <v>41</v>
      </c>
      <c r="T213" s="17">
        <v>45</v>
      </c>
      <c r="U213" s="18">
        <v>0.33333333333333331</v>
      </c>
    </row>
    <row r="214" spans="19:21">
      <c r="S214" s="16">
        <v>41</v>
      </c>
      <c r="T214" s="17">
        <v>50</v>
      </c>
      <c r="U214" s="18">
        <v>0.33333333333333331</v>
      </c>
    </row>
    <row r="215" spans="19:21">
      <c r="S215" s="16">
        <v>42</v>
      </c>
      <c r="T215" s="17">
        <v>40</v>
      </c>
      <c r="U215" s="18">
        <v>0.33333333333333331</v>
      </c>
    </row>
    <row r="216" spans="19:21">
      <c r="S216" s="16">
        <v>42</v>
      </c>
      <c r="T216" s="17">
        <v>45</v>
      </c>
      <c r="U216" s="18">
        <v>0.33333333333333331</v>
      </c>
    </row>
    <row r="217" spans="19:21">
      <c r="S217" s="16">
        <v>42</v>
      </c>
      <c r="T217" s="17">
        <v>52</v>
      </c>
      <c r="U217" s="18">
        <v>0.33333333333333331</v>
      </c>
    </row>
    <row r="218" spans="19:21">
      <c r="S218" s="16">
        <v>43</v>
      </c>
      <c r="T218" s="17">
        <v>36</v>
      </c>
      <c r="U218" s="18">
        <v>0.33333333333333331</v>
      </c>
    </row>
    <row r="219" spans="19:21">
      <c r="S219" s="16">
        <v>43</v>
      </c>
      <c r="T219" s="17">
        <v>37</v>
      </c>
      <c r="U219" s="18">
        <v>0.33333333333333331</v>
      </c>
    </row>
    <row r="220" spans="19:21">
      <c r="S220" s="16">
        <v>43</v>
      </c>
      <c r="T220" s="17">
        <v>50</v>
      </c>
      <c r="U220" s="18">
        <v>0.33333333333333331</v>
      </c>
    </row>
    <row r="221" spans="19:21">
      <c r="S221" s="16">
        <v>44</v>
      </c>
      <c r="T221" s="17">
        <v>37</v>
      </c>
      <c r="U221" s="18">
        <v>0.33333333333333331</v>
      </c>
    </row>
    <row r="222" spans="19:21">
      <c r="S222" s="16">
        <v>44</v>
      </c>
      <c r="T222" s="17">
        <v>53</v>
      </c>
      <c r="U222" s="18">
        <v>0.33333333333333331</v>
      </c>
    </row>
    <row r="223" spans="19:21">
      <c r="S223" s="16">
        <v>44</v>
      </c>
      <c r="T223" s="17">
        <v>102</v>
      </c>
      <c r="U223" s="18">
        <v>0.33333333333333331</v>
      </c>
    </row>
    <row r="224" spans="19:21">
      <c r="S224" s="16">
        <v>45</v>
      </c>
      <c r="T224" s="17">
        <v>36</v>
      </c>
      <c r="U224" s="18">
        <v>0.16666666666666666</v>
      </c>
    </row>
    <row r="225" spans="19:21">
      <c r="S225" s="16">
        <v>45</v>
      </c>
      <c r="T225" s="17">
        <v>40</v>
      </c>
      <c r="U225" s="18">
        <v>0.16666666666666666</v>
      </c>
    </row>
    <row r="226" spans="19:21">
      <c r="S226" s="16">
        <v>45</v>
      </c>
      <c r="T226" s="17">
        <v>41</v>
      </c>
      <c r="U226" s="18">
        <v>0.16666666666666666</v>
      </c>
    </row>
    <row r="227" spans="19:21">
      <c r="S227" s="16">
        <v>45</v>
      </c>
      <c r="T227" s="17">
        <v>42</v>
      </c>
      <c r="U227" s="18">
        <v>0.16666666666666666</v>
      </c>
    </row>
    <row r="228" spans="19:21">
      <c r="S228" s="16">
        <v>45</v>
      </c>
      <c r="T228" s="17">
        <v>47</v>
      </c>
      <c r="U228" s="18">
        <v>0.16666666666666666</v>
      </c>
    </row>
    <row r="229" spans="19:21">
      <c r="S229" s="16">
        <v>45</v>
      </c>
      <c r="T229" s="17">
        <v>52</v>
      </c>
      <c r="U229" s="18">
        <v>0.16666666666666666</v>
      </c>
    </row>
    <row r="230" spans="19:21">
      <c r="S230" s="16">
        <v>46</v>
      </c>
      <c r="T230" s="17">
        <v>36</v>
      </c>
      <c r="U230" s="18">
        <v>0.16666666666666666</v>
      </c>
    </row>
    <row r="231" spans="19:21">
      <c r="S231" s="16">
        <v>46</v>
      </c>
      <c r="T231" s="17">
        <v>39</v>
      </c>
      <c r="U231" s="18">
        <v>0.16666666666666666</v>
      </c>
    </row>
    <row r="232" spans="19:21">
      <c r="S232" s="16">
        <v>46</v>
      </c>
      <c r="T232" s="17">
        <v>47</v>
      </c>
      <c r="U232" s="18">
        <v>0.16666666666666666</v>
      </c>
    </row>
    <row r="233" spans="19:21">
      <c r="S233" s="16">
        <v>46</v>
      </c>
      <c r="T233" s="17">
        <v>49</v>
      </c>
      <c r="U233" s="18">
        <v>0.16666666666666666</v>
      </c>
    </row>
    <row r="234" spans="19:21">
      <c r="S234" s="16">
        <v>46</v>
      </c>
      <c r="T234" s="17">
        <v>51</v>
      </c>
      <c r="U234" s="18">
        <v>0.16666666666666666</v>
      </c>
    </row>
    <row r="235" spans="19:21">
      <c r="S235" s="16">
        <v>46</v>
      </c>
      <c r="T235" s="17">
        <v>53</v>
      </c>
      <c r="U235" s="18">
        <v>0.16666666666666666</v>
      </c>
    </row>
    <row r="236" spans="19:21">
      <c r="S236" s="16">
        <v>47</v>
      </c>
      <c r="T236" s="17">
        <v>36</v>
      </c>
      <c r="U236" s="18">
        <v>0.2</v>
      </c>
    </row>
    <row r="237" spans="19:21">
      <c r="S237" s="16">
        <v>47</v>
      </c>
      <c r="T237" s="17">
        <v>40</v>
      </c>
      <c r="U237" s="18">
        <v>0.2</v>
      </c>
    </row>
    <row r="238" spans="19:21">
      <c r="S238" s="16">
        <v>47</v>
      </c>
      <c r="T238" s="17">
        <v>45</v>
      </c>
      <c r="U238" s="18">
        <v>0.2</v>
      </c>
    </row>
    <row r="239" spans="19:21">
      <c r="S239" s="16">
        <v>47</v>
      </c>
      <c r="T239" s="17">
        <v>46</v>
      </c>
      <c r="U239" s="18">
        <v>0.2</v>
      </c>
    </row>
    <row r="240" spans="19:21">
      <c r="S240" s="16">
        <v>47</v>
      </c>
      <c r="T240" s="17">
        <v>51</v>
      </c>
      <c r="U240" s="18">
        <v>0.2</v>
      </c>
    </row>
    <row r="241" spans="19:21">
      <c r="S241" s="16">
        <v>48</v>
      </c>
      <c r="T241" s="17">
        <v>39</v>
      </c>
      <c r="U241" s="18">
        <v>0.2</v>
      </c>
    </row>
    <row r="242" spans="19:21">
      <c r="S242" s="16">
        <v>48</v>
      </c>
      <c r="T242" s="17">
        <v>49</v>
      </c>
      <c r="U242" s="18">
        <v>0.2</v>
      </c>
    </row>
    <row r="243" spans="19:21">
      <c r="S243" s="16">
        <v>48</v>
      </c>
      <c r="T243" s="17">
        <v>98</v>
      </c>
      <c r="U243" s="18">
        <v>0.2</v>
      </c>
    </row>
    <row r="244" spans="19:21">
      <c r="S244" s="16">
        <v>48</v>
      </c>
      <c r="T244" s="17">
        <v>103</v>
      </c>
      <c r="U244" s="18">
        <v>0.2</v>
      </c>
    </row>
    <row r="245" spans="19:21">
      <c r="S245" s="16">
        <v>48</v>
      </c>
      <c r="T245" s="17">
        <v>105</v>
      </c>
      <c r="U245" s="18">
        <v>0.2</v>
      </c>
    </row>
    <row r="246" spans="19:21">
      <c r="S246" s="16">
        <v>49</v>
      </c>
      <c r="T246" s="17">
        <v>39</v>
      </c>
      <c r="U246" s="18">
        <v>0.2</v>
      </c>
    </row>
    <row r="247" spans="19:21">
      <c r="S247" s="16">
        <v>49</v>
      </c>
      <c r="T247" s="17">
        <v>46</v>
      </c>
      <c r="U247" s="18">
        <v>0.2</v>
      </c>
    </row>
    <row r="248" spans="19:21">
      <c r="S248" s="16">
        <v>49</v>
      </c>
      <c r="T248" s="17">
        <v>48</v>
      </c>
      <c r="U248" s="18">
        <v>0.2</v>
      </c>
    </row>
    <row r="249" spans="19:21">
      <c r="S249" s="16">
        <v>49</v>
      </c>
      <c r="T249" s="17">
        <v>53</v>
      </c>
      <c r="U249" s="18">
        <v>0.2</v>
      </c>
    </row>
    <row r="250" spans="19:21">
      <c r="S250" s="16">
        <v>49</v>
      </c>
      <c r="T250" s="17">
        <v>103</v>
      </c>
      <c r="U250" s="18">
        <v>0.2</v>
      </c>
    </row>
    <row r="251" spans="19:21">
      <c r="S251" s="16">
        <v>50</v>
      </c>
      <c r="T251" s="17">
        <v>36</v>
      </c>
      <c r="U251" s="18">
        <v>0.33333333333333331</v>
      </c>
    </row>
    <row r="252" spans="19:21">
      <c r="S252" s="16">
        <v>50</v>
      </c>
      <c r="T252" s="17">
        <v>41</v>
      </c>
      <c r="U252" s="18">
        <v>0.33333333333333331</v>
      </c>
    </row>
    <row r="253" spans="19:21">
      <c r="S253" s="16">
        <v>50</v>
      </c>
      <c r="T253" s="17">
        <v>43</v>
      </c>
      <c r="U253" s="18">
        <v>0.33333333333333331</v>
      </c>
    </row>
    <row r="254" spans="19:21">
      <c r="S254" s="16">
        <v>51</v>
      </c>
      <c r="T254" s="17">
        <v>39</v>
      </c>
      <c r="U254" s="18">
        <v>0.25</v>
      </c>
    </row>
    <row r="255" spans="19:21">
      <c r="S255" s="16">
        <v>51</v>
      </c>
      <c r="T255" s="17">
        <v>40</v>
      </c>
      <c r="U255" s="18">
        <v>0.25</v>
      </c>
    </row>
    <row r="256" spans="19:21">
      <c r="S256" s="16">
        <v>51</v>
      </c>
      <c r="T256" s="17">
        <v>46</v>
      </c>
      <c r="U256" s="18">
        <v>0.25</v>
      </c>
    </row>
    <row r="257" spans="19:21">
      <c r="S257" s="16">
        <v>51</v>
      </c>
      <c r="T257" s="17">
        <v>47</v>
      </c>
      <c r="U257" s="18">
        <v>0.25</v>
      </c>
    </row>
    <row r="258" spans="19:21">
      <c r="S258" s="16">
        <v>52</v>
      </c>
      <c r="T258" s="17">
        <v>38</v>
      </c>
      <c r="U258" s="18">
        <v>0.25</v>
      </c>
    </row>
    <row r="259" spans="19:21">
      <c r="S259" s="16">
        <v>52</v>
      </c>
      <c r="T259" s="17">
        <v>40</v>
      </c>
      <c r="U259" s="18">
        <v>0.25</v>
      </c>
    </row>
    <row r="260" spans="19:21">
      <c r="S260" s="16">
        <v>52</v>
      </c>
      <c r="T260" s="17">
        <v>42</v>
      </c>
      <c r="U260" s="18">
        <v>0.25</v>
      </c>
    </row>
    <row r="261" spans="19:21">
      <c r="S261" s="16">
        <v>52</v>
      </c>
      <c r="T261" s="17">
        <v>45</v>
      </c>
      <c r="U261" s="18">
        <v>0.25</v>
      </c>
    </row>
    <row r="262" spans="19:21">
      <c r="S262" s="16">
        <v>53</v>
      </c>
      <c r="T262" s="17">
        <v>36</v>
      </c>
      <c r="U262" s="18">
        <v>0.125</v>
      </c>
    </row>
    <row r="263" spans="19:21">
      <c r="S263" s="16">
        <v>53</v>
      </c>
      <c r="T263" s="17">
        <v>37</v>
      </c>
      <c r="U263" s="18">
        <v>0.125</v>
      </c>
    </row>
    <row r="264" spans="19:21">
      <c r="S264" s="16">
        <v>53</v>
      </c>
      <c r="T264" s="17">
        <v>44</v>
      </c>
      <c r="U264" s="18">
        <v>0.125</v>
      </c>
    </row>
    <row r="265" spans="19:21">
      <c r="S265" s="16">
        <v>53</v>
      </c>
      <c r="T265" s="17">
        <v>46</v>
      </c>
      <c r="U265" s="18">
        <v>0.125</v>
      </c>
    </row>
    <row r="266" spans="19:21">
      <c r="S266" s="16">
        <v>53</v>
      </c>
      <c r="T266" s="17">
        <v>49</v>
      </c>
      <c r="U266" s="18">
        <v>0.125</v>
      </c>
    </row>
    <row r="267" spans="19:21">
      <c r="S267" s="16">
        <v>53</v>
      </c>
      <c r="T267" s="17">
        <v>95</v>
      </c>
      <c r="U267" s="18">
        <v>0.125</v>
      </c>
    </row>
    <row r="268" spans="19:21">
      <c r="S268" s="16">
        <v>53</v>
      </c>
      <c r="T268" s="17">
        <v>102</v>
      </c>
      <c r="U268" s="18">
        <v>0.125</v>
      </c>
    </row>
    <row r="269" spans="19:21">
      <c r="S269" s="16">
        <v>53</v>
      </c>
      <c r="T269" s="17">
        <v>103</v>
      </c>
      <c r="U269" s="18">
        <v>0.125</v>
      </c>
    </row>
    <row r="270" spans="19:21">
      <c r="S270" s="16">
        <v>54</v>
      </c>
      <c r="T270" s="17">
        <v>55</v>
      </c>
      <c r="U270" s="18">
        <v>0.25</v>
      </c>
    </row>
    <row r="271" spans="19:21">
      <c r="S271" s="16">
        <v>54</v>
      </c>
      <c r="T271" s="17">
        <v>57</v>
      </c>
      <c r="U271" s="18">
        <v>0.25</v>
      </c>
    </row>
    <row r="272" spans="19:21">
      <c r="S272" s="16">
        <v>54</v>
      </c>
      <c r="T272" s="17">
        <v>58</v>
      </c>
      <c r="U272" s="18">
        <v>0.25</v>
      </c>
    </row>
    <row r="273" spans="19:21">
      <c r="S273" s="16">
        <v>54</v>
      </c>
      <c r="T273" s="17">
        <v>59</v>
      </c>
      <c r="U273" s="18">
        <v>0.25</v>
      </c>
    </row>
    <row r="274" spans="19:21">
      <c r="S274" s="16">
        <v>55</v>
      </c>
      <c r="T274" s="17">
        <v>54</v>
      </c>
      <c r="U274" s="18">
        <v>0.2</v>
      </c>
    </row>
    <row r="275" spans="19:21">
      <c r="S275" s="16">
        <v>55</v>
      </c>
      <c r="T275" s="17">
        <v>56</v>
      </c>
      <c r="U275" s="18">
        <v>0.2</v>
      </c>
    </row>
    <row r="276" spans="19:21">
      <c r="S276" s="16">
        <v>55</v>
      </c>
      <c r="T276" s="17">
        <v>57</v>
      </c>
      <c r="U276" s="18">
        <v>0.2</v>
      </c>
    </row>
    <row r="277" spans="19:21">
      <c r="S277" s="16">
        <v>55</v>
      </c>
      <c r="T277" s="17">
        <v>59</v>
      </c>
      <c r="U277" s="18">
        <v>0.2</v>
      </c>
    </row>
    <row r="278" spans="19:21">
      <c r="S278" s="16">
        <v>55</v>
      </c>
      <c r="T278" s="17">
        <v>67</v>
      </c>
      <c r="U278" s="18">
        <v>0.2</v>
      </c>
    </row>
    <row r="279" spans="19:21">
      <c r="S279" s="16">
        <v>56</v>
      </c>
      <c r="T279" s="17">
        <v>55</v>
      </c>
      <c r="U279" s="18">
        <v>0.5</v>
      </c>
    </row>
    <row r="280" spans="19:21">
      <c r="S280" s="16">
        <v>56</v>
      </c>
      <c r="T280" s="17">
        <v>59</v>
      </c>
      <c r="U280" s="18">
        <v>0.5</v>
      </c>
    </row>
    <row r="281" spans="19:21">
      <c r="S281" s="16">
        <v>57</v>
      </c>
      <c r="T281" s="17">
        <v>33</v>
      </c>
      <c r="U281" s="18">
        <v>0.14285714285714285</v>
      </c>
    </row>
    <row r="282" spans="19:21">
      <c r="S282" s="16">
        <v>57</v>
      </c>
      <c r="T282" s="17">
        <v>54</v>
      </c>
      <c r="U282" s="18">
        <v>0.14285714285714285</v>
      </c>
    </row>
    <row r="283" spans="19:21">
      <c r="S283" s="16">
        <v>57</v>
      </c>
      <c r="T283" s="17">
        <v>55</v>
      </c>
      <c r="U283" s="18">
        <v>0.14285714285714285</v>
      </c>
    </row>
    <row r="284" spans="19:21">
      <c r="S284" s="16">
        <v>57</v>
      </c>
      <c r="T284" s="17">
        <v>59</v>
      </c>
      <c r="U284" s="18">
        <v>0.14285714285714285</v>
      </c>
    </row>
    <row r="285" spans="19:21">
      <c r="S285" s="16">
        <v>57</v>
      </c>
      <c r="T285" s="17">
        <v>65</v>
      </c>
      <c r="U285" s="18">
        <v>0.14285714285714285</v>
      </c>
    </row>
    <row r="286" spans="19:21">
      <c r="S286" s="16">
        <v>57</v>
      </c>
      <c r="T286" s="17">
        <v>66</v>
      </c>
      <c r="U286" s="18">
        <v>0.14285714285714285</v>
      </c>
    </row>
    <row r="287" spans="19:21">
      <c r="S287" s="16">
        <v>57</v>
      </c>
      <c r="T287" s="17">
        <v>67</v>
      </c>
      <c r="U287" s="18">
        <v>0.14285714285714285</v>
      </c>
    </row>
    <row r="288" spans="19:21">
      <c r="S288" s="16">
        <v>58</v>
      </c>
      <c r="T288" s="17">
        <v>54</v>
      </c>
      <c r="U288" s="18">
        <v>0.5</v>
      </c>
    </row>
    <row r="289" spans="19:21">
      <c r="S289" s="16">
        <v>58</v>
      </c>
      <c r="T289" s="17">
        <v>59</v>
      </c>
      <c r="U289" s="18">
        <v>0.5</v>
      </c>
    </row>
    <row r="290" spans="19:21">
      <c r="S290" s="16">
        <v>59</v>
      </c>
      <c r="T290" s="17">
        <v>33</v>
      </c>
      <c r="U290" s="18">
        <v>0.125</v>
      </c>
    </row>
    <row r="291" spans="19:21">
      <c r="S291" s="16">
        <v>59</v>
      </c>
      <c r="T291" s="17">
        <v>54</v>
      </c>
      <c r="U291" s="18">
        <v>0.125</v>
      </c>
    </row>
    <row r="292" spans="19:21">
      <c r="S292" s="16">
        <v>59</v>
      </c>
      <c r="T292" s="17">
        <v>55</v>
      </c>
      <c r="U292" s="18">
        <v>0.125</v>
      </c>
    </row>
    <row r="293" spans="19:21">
      <c r="S293" s="16">
        <v>59</v>
      </c>
      <c r="T293" s="17">
        <v>56</v>
      </c>
      <c r="U293" s="18">
        <v>0.125</v>
      </c>
    </row>
    <row r="294" spans="19:21">
      <c r="S294" s="16">
        <v>59</v>
      </c>
      <c r="T294" s="17">
        <v>57</v>
      </c>
      <c r="U294" s="18">
        <v>0.125</v>
      </c>
    </row>
    <row r="295" spans="19:21">
      <c r="S295" s="16">
        <v>59</v>
      </c>
      <c r="T295" s="17">
        <v>58</v>
      </c>
      <c r="U295" s="18">
        <v>0.125</v>
      </c>
    </row>
    <row r="296" spans="19:21">
      <c r="S296" s="16">
        <v>59</v>
      </c>
      <c r="T296" s="17">
        <v>62</v>
      </c>
      <c r="U296" s="18">
        <v>0.125</v>
      </c>
    </row>
    <row r="297" spans="19:21">
      <c r="S297" s="16">
        <v>59</v>
      </c>
      <c r="T297" s="17">
        <v>101</v>
      </c>
      <c r="U297" s="18">
        <v>0.125</v>
      </c>
    </row>
    <row r="298" spans="19:21">
      <c r="S298" s="16">
        <v>60</v>
      </c>
      <c r="T298" s="17">
        <v>61</v>
      </c>
      <c r="U298" s="18">
        <v>0.5</v>
      </c>
    </row>
    <row r="299" spans="19:21">
      <c r="S299" s="16">
        <v>60</v>
      </c>
      <c r="T299" s="17">
        <v>63</v>
      </c>
      <c r="U299" s="18">
        <v>0.5</v>
      </c>
    </row>
    <row r="300" spans="19:21">
      <c r="S300" s="16">
        <v>61</v>
      </c>
      <c r="T300" s="17">
        <v>60</v>
      </c>
      <c r="U300" s="18">
        <v>0.2</v>
      </c>
    </row>
    <row r="301" spans="19:21">
      <c r="S301" s="16">
        <v>61</v>
      </c>
      <c r="T301" s="17">
        <v>62</v>
      </c>
      <c r="U301" s="18">
        <v>0.2</v>
      </c>
    </row>
    <row r="302" spans="19:21">
      <c r="S302" s="16">
        <v>61</v>
      </c>
      <c r="T302" s="17">
        <v>63</v>
      </c>
      <c r="U302" s="18">
        <v>0.2</v>
      </c>
    </row>
    <row r="303" spans="19:21">
      <c r="S303" s="16">
        <v>61</v>
      </c>
      <c r="T303" s="17">
        <v>95</v>
      </c>
      <c r="U303" s="18">
        <v>0.2</v>
      </c>
    </row>
    <row r="304" spans="19:21">
      <c r="S304" s="16">
        <v>61</v>
      </c>
      <c r="T304" s="17">
        <v>97</v>
      </c>
      <c r="U304" s="18">
        <v>0.2</v>
      </c>
    </row>
    <row r="305" spans="19:21">
      <c r="S305" s="16">
        <v>62</v>
      </c>
      <c r="T305" s="17">
        <v>59</v>
      </c>
      <c r="U305" s="18">
        <v>0.2</v>
      </c>
    </row>
    <row r="306" spans="19:21">
      <c r="S306" s="16">
        <v>62</v>
      </c>
      <c r="T306" s="17">
        <v>61</v>
      </c>
      <c r="U306" s="18">
        <v>0.2</v>
      </c>
    </row>
    <row r="307" spans="19:21">
      <c r="S307" s="16">
        <v>62</v>
      </c>
      <c r="T307" s="17">
        <v>63</v>
      </c>
      <c r="U307" s="18">
        <v>0.2</v>
      </c>
    </row>
    <row r="308" spans="19:21">
      <c r="S308" s="16">
        <v>62</v>
      </c>
      <c r="T308" s="17">
        <v>95</v>
      </c>
      <c r="U308" s="18">
        <v>0.2</v>
      </c>
    </row>
    <row r="309" spans="19:21">
      <c r="S309" s="16">
        <v>62</v>
      </c>
      <c r="T309" s="17">
        <v>101</v>
      </c>
      <c r="U309" s="18">
        <v>0.2</v>
      </c>
    </row>
    <row r="310" spans="19:21">
      <c r="S310" s="16">
        <v>63</v>
      </c>
      <c r="T310" s="17">
        <v>60</v>
      </c>
      <c r="U310" s="18">
        <v>0.33333333333333331</v>
      </c>
    </row>
    <row r="311" spans="19:21">
      <c r="S311" s="16">
        <v>63</v>
      </c>
      <c r="T311" s="17">
        <v>61</v>
      </c>
      <c r="U311" s="18">
        <v>0.33333333333333331</v>
      </c>
    </row>
    <row r="312" spans="19:21">
      <c r="S312" s="16">
        <v>63</v>
      </c>
      <c r="T312" s="17">
        <v>62</v>
      </c>
      <c r="U312" s="18">
        <v>0.33333333333333331</v>
      </c>
    </row>
    <row r="313" spans="19:21">
      <c r="S313" s="16">
        <v>64</v>
      </c>
      <c r="T313" s="17">
        <v>66</v>
      </c>
      <c r="U313" s="18">
        <v>0.25</v>
      </c>
    </row>
    <row r="314" spans="19:21">
      <c r="S314" s="16">
        <v>64</v>
      </c>
      <c r="T314" s="17">
        <v>67</v>
      </c>
      <c r="U314" s="18">
        <v>0.25</v>
      </c>
    </row>
    <row r="315" spans="19:21">
      <c r="S315" s="16">
        <v>64</v>
      </c>
      <c r="T315" s="17">
        <v>69</v>
      </c>
      <c r="U315" s="18">
        <v>0.25</v>
      </c>
    </row>
    <row r="316" spans="19:21">
      <c r="S316" s="16">
        <v>64</v>
      </c>
      <c r="T316" s="17">
        <v>83</v>
      </c>
      <c r="U316" s="18">
        <v>0.25</v>
      </c>
    </row>
    <row r="317" spans="19:21">
      <c r="S317" s="16">
        <v>65</v>
      </c>
      <c r="T317" s="17">
        <v>30</v>
      </c>
      <c r="U317" s="18">
        <v>0.2</v>
      </c>
    </row>
    <row r="318" spans="19:21">
      <c r="S318" s="16">
        <v>65</v>
      </c>
      <c r="T318" s="17">
        <v>33</v>
      </c>
      <c r="U318" s="18">
        <v>0.2</v>
      </c>
    </row>
    <row r="319" spans="19:21">
      <c r="S319" s="16">
        <v>65</v>
      </c>
      <c r="T319" s="17">
        <v>35</v>
      </c>
      <c r="U319" s="18">
        <v>0.2</v>
      </c>
    </row>
    <row r="320" spans="19:21">
      <c r="S320" s="16">
        <v>65</v>
      </c>
      <c r="T320" s="17">
        <v>57</v>
      </c>
      <c r="U320" s="18">
        <v>0.2</v>
      </c>
    </row>
    <row r="321" spans="19:21">
      <c r="S321" s="16">
        <v>65</v>
      </c>
      <c r="T321" s="17">
        <v>66</v>
      </c>
      <c r="U321" s="18">
        <v>0.2</v>
      </c>
    </row>
    <row r="322" spans="19:21">
      <c r="S322" s="16">
        <v>66</v>
      </c>
      <c r="T322" s="17">
        <v>35</v>
      </c>
      <c r="U322" s="18">
        <v>0.14285714285714285</v>
      </c>
    </row>
    <row r="323" spans="19:21">
      <c r="S323" s="16">
        <v>66</v>
      </c>
      <c r="T323" s="17">
        <v>57</v>
      </c>
      <c r="U323" s="18">
        <v>0.14285714285714285</v>
      </c>
    </row>
    <row r="324" spans="19:21">
      <c r="S324" s="16">
        <v>66</v>
      </c>
      <c r="T324" s="17">
        <v>64</v>
      </c>
      <c r="U324" s="18">
        <v>0.14285714285714285</v>
      </c>
    </row>
    <row r="325" spans="19:21">
      <c r="S325" s="16">
        <v>66</v>
      </c>
      <c r="T325" s="17">
        <v>65</v>
      </c>
      <c r="U325" s="18">
        <v>0.14285714285714285</v>
      </c>
    </row>
    <row r="326" spans="19:21">
      <c r="S326" s="16">
        <v>66</v>
      </c>
      <c r="T326" s="17">
        <v>67</v>
      </c>
      <c r="U326" s="18">
        <v>0.14285714285714285</v>
      </c>
    </row>
    <row r="327" spans="19:21">
      <c r="S327" s="16">
        <v>66</v>
      </c>
      <c r="T327" s="17">
        <v>68</v>
      </c>
      <c r="U327" s="18">
        <v>0.14285714285714285</v>
      </c>
    </row>
    <row r="328" spans="19:21">
      <c r="S328" s="16">
        <v>66</v>
      </c>
      <c r="T328" s="17">
        <v>69</v>
      </c>
      <c r="U328" s="18">
        <v>0.14285714285714285</v>
      </c>
    </row>
    <row r="329" spans="19:21">
      <c r="S329" s="16">
        <v>67</v>
      </c>
      <c r="T329" s="17">
        <v>55</v>
      </c>
      <c r="U329" s="18">
        <v>0.16666666666666666</v>
      </c>
    </row>
    <row r="330" spans="19:21">
      <c r="S330" s="16">
        <v>67</v>
      </c>
      <c r="T330" s="17">
        <v>57</v>
      </c>
      <c r="U330" s="18">
        <v>0.16666666666666666</v>
      </c>
    </row>
    <row r="331" spans="19:21">
      <c r="S331" s="16">
        <v>67</v>
      </c>
      <c r="T331" s="17">
        <v>64</v>
      </c>
      <c r="U331" s="18">
        <v>0.16666666666666666</v>
      </c>
    </row>
    <row r="332" spans="19:21">
      <c r="S332" s="16">
        <v>67</v>
      </c>
      <c r="T332" s="17">
        <v>66</v>
      </c>
      <c r="U332" s="18">
        <v>0.16666666666666666</v>
      </c>
    </row>
    <row r="333" spans="19:21">
      <c r="S333" s="16">
        <v>67</v>
      </c>
      <c r="T333" s="17">
        <v>83</v>
      </c>
      <c r="U333" s="18">
        <v>0.16666666666666666</v>
      </c>
    </row>
    <row r="334" spans="19:21">
      <c r="S334" s="16">
        <v>67</v>
      </c>
      <c r="T334" s="17">
        <v>85</v>
      </c>
      <c r="U334" s="18">
        <v>0.16666666666666666</v>
      </c>
    </row>
    <row r="335" spans="19:21">
      <c r="S335" s="16">
        <v>68</v>
      </c>
      <c r="T335" s="17">
        <v>11</v>
      </c>
      <c r="U335" s="18">
        <v>0.2</v>
      </c>
    </row>
    <row r="336" spans="19:21">
      <c r="S336" s="16">
        <v>68</v>
      </c>
      <c r="T336" s="17">
        <v>35</v>
      </c>
      <c r="U336" s="18">
        <v>0.2</v>
      </c>
    </row>
    <row r="337" spans="19:21">
      <c r="S337" s="16">
        <v>68</v>
      </c>
      <c r="T337" s="17">
        <v>66</v>
      </c>
      <c r="U337" s="18">
        <v>0.2</v>
      </c>
    </row>
    <row r="338" spans="19:21">
      <c r="S338" s="16">
        <v>68</v>
      </c>
      <c r="T338" s="17">
        <v>69</v>
      </c>
      <c r="U338" s="18">
        <v>0.2</v>
      </c>
    </row>
    <row r="339" spans="19:21">
      <c r="S339" s="16">
        <v>68</v>
      </c>
      <c r="T339" s="17">
        <v>83</v>
      </c>
      <c r="U339" s="18">
        <v>0.2</v>
      </c>
    </row>
    <row r="340" spans="19:21">
      <c r="S340" s="16">
        <v>69</v>
      </c>
      <c r="T340" s="17">
        <v>64</v>
      </c>
      <c r="U340" s="18">
        <v>0.25</v>
      </c>
    </row>
    <row r="341" spans="19:21">
      <c r="S341" s="16">
        <v>69</v>
      </c>
      <c r="T341" s="17">
        <v>66</v>
      </c>
      <c r="U341" s="18">
        <v>0.25</v>
      </c>
    </row>
    <row r="342" spans="19:21">
      <c r="S342" s="16">
        <v>69</v>
      </c>
      <c r="T342" s="17">
        <v>68</v>
      </c>
      <c r="U342" s="18">
        <v>0.25</v>
      </c>
    </row>
    <row r="343" spans="19:21">
      <c r="S343" s="16">
        <v>69</v>
      </c>
      <c r="T343" s="17">
        <v>83</v>
      </c>
      <c r="U343" s="18">
        <v>0.25</v>
      </c>
    </row>
    <row r="344" spans="19:21">
      <c r="S344" s="16">
        <v>70</v>
      </c>
      <c r="T344" s="17">
        <v>77</v>
      </c>
      <c r="U344" s="18">
        <v>1</v>
      </c>
    </row>
    <row r="345" spans="19:21">
      <c r="S345" s="16">
        <v>71</v>
      </c>
      <c r="T345" s="17">
        <v>15</v>
      </c>
      <c r="U345" s="18">
        <v>0.14285714285714285</v>
      </c>
    </row>
    <row r="346" spans="19:21">
      <c r="S346" s="16">
        <v>71</v>
      </c>
      <c r="T346" s="17">
        <v>20</v>
      </c>
      <c r="U346" s="18">
        <v>0.14285714285714285</v>
      </c>
    </row>
    <row r="347" spans="19:21">
      <c r="S347" s="16">
        <v>71</v>
      </c>
      <c r="T347" s="17">
        <v>24</v>
      </c>
      <c r="U347" s="18">
        <v>0.14285714285714285</v>
      </c>
    </row>
    <row r="348" spans="19:21">
      <c r="S348" s="16">
        <v>71</v>
      </c>
      <c r="T348" s="17">
        <v>31</v>
      </c>
      <c r="U348" s="18">
        <v>0.14285714285714285</v>
      </c>
    </row>
    <row r="349" spans="19:21">
      <c r="S349" s="16">
        <v>71</v>
      </c>
      <c r="T349" s="17">
        <v>32</v>
      </c>
      <c r="U349" s="18">
        <v>0.14285714285714285</v>
      </c>
    </row>
    <row r="350" spans="19:21">
      <c r="S350" s="16">
        <v>71</v>
      </c>
      <c r="T350" s="17">
        <v>72</v>
      </c>
      <c r="U350" s="18">
        <v>0.14285714285714285</v>
      </c>
    </row>
    <row r="351" spans="19:21">
      <c r="S351" s="16">
        <v>71</v>
      </c>
      <c r="T351" s="17">
        <v>73</v>
      </c>
      <c r="U351" s="18">
        <v>0.14285714285714285</v>
      </c>
    </row>
    <row r="352" spans="19:21">
      <c r="S352" s="16">
        <v>72</v>
      </c>
      <c r="T352" s="17">
        <v>17</v>
      </c>
      <c r="U352" s="18">
        <v>0.2</v>
      </c>
    </row>
    <row r="353" spans="19:21">
      <c r="S353" s="16">
        <v>72</v>
      </c>
      <c r="T353" s="17">
        <v>18</v>
      </c>
      <c r="U353" s="18">
        <v>0.2</v>
      </c>
    </row>
    <row r="354" spans="19:21">
      <c r="S354" s="16">
        <v>72</v>
      </c>
      <c r="T354" s="17">
        <v>71</v>
      </c>
      <c r="U354" s="18">
        <v>0.2</v>
      </c>
    </row>
    <row r="355" spans="19:21">
      <c r="S355" s="16">
        <v>72</v>
      </c>
      <c r="T355" s="17">
        <v>73</v>
      </c>
      <c r="U355" s="18">
        <v>0.2</v>
      </c>
    </row>
    <row r="356" spans="19:21">
      <c r="S356" s="16">
        <v>72</v>
      </c>
      <c r="T356" s="17">
        <v>74</v>
      </c>
      <c r="U356" s="18">
        <v>0.2</v>
      </c>
    </row>
    <row r="357" spans="19:21">
      <c r="S357" s="16">
        <v>73</v>
      </c>
      <c r="T357" s="17">
        <v>18</v>
      </c>
      <c r="U357" s="18">
        <v>0.25</v>
      </c>
    </row>
    <row r="358" spans="19:21">
      <c r="S358" s="16">
        <v>73</v>
      </c>
      <c r="T358" s="17">
        <v>20</v>
      </c>
      <c r="U358" s="18">
        <v>0.25</v>
      </c>
    </row>
    <row r="359" spans="19:21">
      <c r="S359" s="16">
        <v>73</v>
      </c>
      <c r="T359" s="17">
        <v>71</v>
      </c>
      <c r="U359" s="18">
        <v>0.25</v>
      </c>
    </row>
    <row r="360" spans="19:21">
      <c r="S360" s="16">
        <v>73</v>
      </c>
      <c r="T360" s="17">
        <v>72</v>
      </c>
      <c r="U360" s="18">
        <v>0.25</v>
      </c>
    </row>
    <row r="361" spans="19:21">
      <c r="S361" s="16">
        <v>74</v>
      </c>
      <c r="T361" s="17">
        <v>17</v>
      </c>
      <c r="U361" s="18">
        <v>0.2</v>
      </c>
    </row>
    <row r="362" spans="19:21">
      <c r="S362" s="16">
        <v>74</v>
      </c>
      <c r="T362" s="17">
        <v>28</v>
      </c>
      <c r="U362" s="18">
        <v>0.2</v>
      </c>
    </row>
    <row r="363" spans="19:21">
      <c r="S363" s="16">
        <v>74</v>
      </c>
      <c r="T363" s="17">
        <v>72</v>
      </c>
      <c r="U363" s="18">
        <v>0.2</v>
      </c>
    </row>
    <row r="364" spans="19:21">
      <c r="S364" s="16">
        <v>74</v>
      </c>
      <c r="T364" s="17">
        <v>75</v>
      </c>
      <c r="U364" s="18">
        <v>0.2</v>
      </c>
    </row>
    <row r="365" spans="19:21">
      <c r="S365" s="16">
        <v>74</v>
      </c>
      <c r="T365" s="17">
        <v>77</v>
      </c>
      <c r="U365" s="18">
        <v>0.2</v>
      </c>
    </row>
    <row r="366" spans="19:21">
      <c r="S366" s="16">
        <v>75</v>
      </c>
      <c r="T366" s="17">
        <v>28</v>
      </c>
      <c r="U366" s="18">
        <v>0.33333333333333331</v>
      </c>
    </row>
    <row r="367" spans="19:21">
      <c r="S367" s="16">
        <v>75</v>
      </c>
      <c r="T367" s="17">
        <v>74</v>
      </c>
      <c r="U367" s="18">
        <v>0.33333333333333331</v>
      </c>
    </row>
    <row r="368" spans="19:21">
      <c r="S368" s="16">
        <v>75</v>
      </c>
      <c r="T368" s="17">
        <v>77</v>
      </c>
      <c r="U368" s="18">
        <v>0.33333333333333331</v>
      </c>
    </row>
    <row r="369" spans="19:21">
      <c r="S369" s="16">
        <v>76</v>
      </c>
      <c r="T369" s="17">
        <v>77</v>
      </c>
      <c r="U369" s="18">
        <v>1</v>
      </c>
    </row>
    <row r="370" spans="19:21">
      <c r="S370" s="16">
        <v>77</v>
      </c>
      <c r="T370" s="17">
        <v>28</v>
      </c>
      <c r="U370" s="18">
        <v>0.2</v>
      </c>
    </row>
    <row r="371" spans="19:21">
      <c r="S371" s="16">
        <v>77</v>
      </c>
      <c r="T371" s="17">
        <v>70</v>
      </c>
      <c r="U371" s="18">
        <v>0.2</v>
      </c>
    </row>
    <row r="372" spans="19:21">
      <c r="S372" s="16">
        <v>77</v>
      </c>
      <c r="T372" s="17">
        <v>74</v>
      </c>
      <c r="U372" s="18">
        <v>0.2</v>
      </c>
    </row>
    <row r="373" spans="19:21">
      <c r="S373" s="16">
        <v>77</v>
      </c>
      <c r="T373" s="17">
        <v>75</v>
      </c>
      <c r="U373" s="18">
        <v>0.2</v>
      </c>
    </row>
    <row r="374" spans="19:21">
      <c r="S374" s="16">
        <v>77</v>
      </c>
      <c r="T374" s="17">
        <v>76</v>
      </c>
      <c r="U374" s="18">
        <v>0.2</v>
      </c>
    </row>
    <row r="375" spans="19:21">
      <c r="S375" s="16">
        <v>78</v>
      </c>
      <c r="T375" s="17">
        <v>81</v>
      </c>
      <c r="U375" s="18">
        <v>0.25</v>
      </c>
    </row>
    <row r="376" spans="19:21">
      <c r="S376" s="16">
        <v>78</v>
      </c>
      <c r="T376" s="17">
        <v>82</v>
      </c>
      <c r="U376" s="18">
        <v>0.25</v>
      </c>
    </row>
    <row r="377" spans="19:21">
      <c r="S377" s="16">
        <v>78</v>
      </c>
      <c r="T377" s="17">
        <v>84</v>
      </c>
      <c r="U377" s="18">
        <v>0.25</v>
      </c>
    </row>
    <row r="378" spans="19:21">
      <c r="S378" s="16">
        <v>78</v>
      </c>
      <c r="T378" s="17">
        <v>87</v>
      </c>
      <c r="U378" s="18">
        <v>0.25</v>
      </c>
    </row>
    <row r="379" spans="19:21">
      <c r="S379" s="16">
        <v>79</v>
      </c>
      <c r="T379" s="17">
        <v>80</v>
      </c>
      <c r="U379" s="18">
        <v>0.2</v>
      </c>
    </row>
    <row r="380" spans="19:21">
      <c r="S380" s="16">
        <v>79</v>
      </c>
      <c r="T380" s="17">
        <v>81</v>
      </c>
      <c r="U380" s="18">
        <v>0.2</v>
      </c>
    </row>
    <row r="381" spans="19:21">
      <c r="S381" s="16">
        <v>79</v>
      </c>
      <c r="T381" s="17">
        <v>84</v>
      </c>
      <c r="U381" s="18">
        <v>0.2</v>
      </c>
    </row>
    <row r="382" spans="19:21">
      <c r="S382" s="16">
        <v>79</v>
      </c>
      <c r="T382" s="17">
        <v>86</v>
      </c>
      <c r="U382" s="18">
        <v>0.2</v>
      </c>
    </row>
    <row r="383" spans="19:21">
      <c r="S383" s="16">
        <v>79</v>
      </c>
      <c r="T383" s="17">
        <v>92</v>
      </c>
      <c r="U383" s="18">
        <v>0.2</v>
      </c>
    </row>
    <row r="384" spans="19:21">
      <c r="S384" s="16">
        <v>80</v>
      </c>
      <c r="T384" s="17">
        <v>79</v>
      </c>
      <c r="U384" s="18">
        <v>0.25</v>
      </c>
    </row>
    <row r="385" spans="19:21">
      <c r="S385" s="16">
        <v>80</v>
      </c>
      <c r="T385" s="17">
        <v>85</v>
      </c>
      <c r="U385" s="18">
        <v>0.25</v>
      </c>
    </row>
    <row r="386" spans="19:21">
      <c r="S386" s="16">
        <v>80</v>
      </c>
      <c r="T386" s="17">
        <v>90</v>
      </c>
      <c r="U386" s="18">
        <v>0.25</v>
      </c>
    </row>
    <row r="387" spans="19:21">
      <c r="S387" s="16">
        <v>80</v>
      </c>
      <c r="T387" s="17">
        <v>92</v>
      </c>
      <c r="U387" s="18">
        <v>0.25</v>
      </c>
    </row>
    <row r="388" spans="19:21">
      <c r="S388" s="16">
        <v>81</v>
      </c>
      <c r="T388" s="17">
        <v>78</v>
      </c>
      <c r="U388" s="18">
        <v>0.14285714285714285</v>
      </c>
    </row>
    <row r="389" spans="19:21">
      <c r="S389" s="16">
        <v>81</v>
      </c>
      <c r="T389" s="17">
        <v>79</v>
      </c>
      <c r="U389" s="18">
        <v>0.14285714285714285</v>
      </c>
    </row>
    <row r="390" spans="19:21">
      <c r="S390" s="16">
        <v>81</v>
      </c>
      <c r="T390" s="17">
        <v>84</v>
      </c>
      <c r="U390" s="18">
        <v>0.14285714285714285</v>
      </c>
    </row>
    <row r="391" spans="19:21">
      <c r="S391" s="16">
        <v>81</v>
      </c>
      <c r="T391" s="17">
        <v>86</v>
      </c>
      <c r="U391" s="18">
        <v>0.14285714285714285</v>
      </c>
    </row>
    <row r="392" spans="19:21">
      <c r="S392" s="16">
        <v>81</v>
      </c>
      <c r="T392" s="17">
        <v>87</v>
      </c>
      <c r="U392" s="18">
        <v>0.14285714285714285</v>
      </c>
    </row>
    <row r="393" spans="19:21">
      <c r="S393" s="16">
        <v>81</v>
      </c>
      <c r="T393" s="17">
        <v>89</v>
      </c>
      <c r="U393" s="18">
        <v>0.14285714285714285</v>
      </c>
    </row>
    <row r="394" spans="19:21">
      <c r="S394" s="16">
        <v>81</v>
      </c>
      <c r="T394" s="17">
        <v>91</v>
      </c>
      <c r="U394" s="18">
        <v>0.14285714285714285</v>
      </c>
    </row>
    <row r="395" spans="19:21">
      <c r="S395" s="16">
        <v>82</v>
      </c>
      <c r="T395" s="17">
        <v>78</v>
      </c>
      <c r="U395" s="18">
        <v>0.25</v>
      </c>
    </row>
    <row r="396" spans="19:21">
      <c r="S396" s="16">
        <v>82</v>
      </c>
      <c r="T396" s="17">
        <v>84</v>
      </c>
      <c r="U396" s="18">
        <v>0.25</v>
      </c>
    </row>
    <row r="397" spans="19:21">
      <c r="S397" s="16">
        <v>82</v>
      </c>
      <c r="T397" s="17">
        <v>87</v>
      </c>
      <c r="U397" s="18">
        <v>0.25</v>
      </c>
    </row>
    <row r="398" spans="19:21">
      <c r="S398" s="16">
        <v>82</v>
      </c>
      <c r="T398" s="17">
        <v>88</v>
      </c>
      <c r="U398" s="18">
        <v>0.25</v>
      </c>
    </row>
    <row r="399" spans="19:21">
      <c r="S399" s="16">
        <v>83</v>
      </c>
      <c r="T399" s="17">
        <v>6</v>
      </c>
      <c r="U399" s="18">
        <v>0.125</v>
      </c>
    </row>
    <row r="400" spans="19:21">
      <c r="S400" s="16">
        <v>83</v>
      </c>
      <c r="T400" s="17">
        <v>9</v>
      </c>
      <c r="U400" s="18">
        <v>0.125</v>
      </c>
    </row>
    <row r="401" spans="19:21">
      <c r="S401" s="16">
        <v>83</v>
      </c>
      <c r="T401" s="17">
        <v>11</v>
      </c>
      <c r="U401" s="18">
        <v>0.125</v>
      </c>
    </row>
    <row r="402" spans="19:21">
      <c r="S402" s="16">
        <v>83</v>
      </c>
      <c r="T402" s="17">
        <v>64</v>
      </c>
      <c r="U402" s="18">
        <v>0.125</v>
      </c>
    </row>
    <row r="403" spans="19:21">
      <c r="S403" s="16">
        <v>83</v>
      </c>
      <c r="T403" s="17">
        <v>67</v>
      </c>
      <c r="U403" s="18">
        <v>0.125</v>
      </c>
    </row>
    <row r="404" spans="19:21">
      <c r="S404" s="16">
        <v>83</v>
      </c>
      <c r="T404" s="17">
        <v>68</v>
      </c>
      <c r="U404" s="18">
        <v>0.125</v>
      </c>
    </row>
    <row r="405" spans="19:21">
      <c r="S405" s="16">
        <v>83</v>
      </c>
      <c r="T405" s="17">
        <v>69</v>
      </c>
      <c r="U405" s="18">
        <v>0.125</v>
      </c>
    </row>
    <row r="406" spans="19:21">
      <c r="S406" s="16">
        <v>83</v>
      </c>
      <c r="T406" s="17">
        <v>85</v>
      </c>
      <c r="U406" s="18">
        <v>0.125</v>
      </c>
    </row>
    <row r="407" spans="19:21">
      <c r="S407" s="16">
        <v>84</v>
      </c>
      <c r="T407" s="17">
        <v>78</v>
      </c>
      <c r="U407" s="18">
        <v>0.1111111111111111</v>
      </c>
    </row>
    <row r="408" spans="19:21">
      <c r="S408" s="16">
        <v>84</v>
      </c>
      <c r="T408" s="17">
        <v>79</v>
      </c>
      <c r="U408" s="18">
        <v>0.1111111111111111</v>
      </c>
    </row>
    <row r="409" spans="19:21">
      <c r="S409" s="16">
        <v>84</v>
      </c>
      <c r="T409" s="17">
        <v>81</v>
      </c>
      <c r="U409" s="18">
        <v>0.1111111111111111</v>
      </c>
    </row>
    <row r="410" spans="19:21">
      <c r="S410" s="16">
        <v>84</v>
      </c>
      <c r="T410" s="17">
        <v>82</v>
      </c>
      <c r="U410" s="18">
        <v>0.1111111111111111</v>
      </c>
    </row>
    <row r="411" spans="19:21">
      <c r="S411" s="16">
        <v>84</v>
      </c>
      <c r="T411" s="17">
        <v>88</v>
      </c>
      <c r="U411" s="18">
        <v>0.1111111111111111</v>
      </c>
    </row>
    <row r="412" spans="19:21">
      <c r="S412" s="16">
        <v>84</v>
      </c>
      <c r="T412" s="17">
        <v>90</v>
      </c>
      <c r="U412" s="18">
        <v>0.1111111111111111</v>
      </c>
    </row>
    <row r="413" spans="19:21">
      <c r="S413" s="16">
        <v>84</v>
      </c>
      <c r="T413" s="17">
        <v>92</v>
      </c>
      <c r="U413" s="18">
        <v>0.1111111111111111</v>
      </c>
    </row>
    <row r="414" spans="19:21">
      <c r="S414" s="16">
        <v>84</v>
      </c>
      <c r="T414" s="17">
        <v>93</v>
      </c>
      <c r="U414" s="18">
        <v>0.1111111111111111</v>
      </c>
    </row>
    <row r="415" spans="19:21">
      <c r="S415" s="16">
        <v>84</v>
      </c>
      <c r="T415" s="17">
        <v>94</v>
      </c>
      <c r="U415" s="18">
        <v>0.1111111111111111</v>
      </c>
    </row>
    <row r="416" spans="19:21">
      <c r="S416" s="16">
        <v>85</v>
      </c>
      <c r="T416" s="17">
        <v>67</v>
      </c>
      <c r="U416" s="18">
        <v>0.16666666666666666</v>
      </c>
    </row>
    <row r="417" spans="19:21">
      <c r="S417" s="16">
        <v>85</v>
      </c>
      <c r="T417" s="17">
        <v>80</v>
      </c>
      <c r="U417" s="18">
        <v>0.16666666666666666</v>
      </c>
    </row>
    <row r="418" spans="19:21">
      <c r="S418" s="16">
        <v>85</v>
      </c>
      <c r="T418" s="17">
        <v>83</v>
      </c>
      <c r="U418" s="18">
        <v>0.16666666666666666</v>
      </c>
    </row>
    <row r="419" spans="19:21">
      <c r="S419" s="16">
        <v>85</v>
      </c>
      <c r="T419" s="17">
        <v>90</v>
      </c>
      <c r="U419" s="18">
        <v>0.16666666666666666</v>
      </c>
    </row>
    <row r="420" spans="19:21">
      <c r="S420" s="16">
        <v>85</v>
      </c>
      <c r="T420" s="17">
        <v>93</v>
      </c>
      <c r="U420" s="18">
        <v>0.16666666666666666</v>
      </c>
    </row>
    <row r="421" spans="19:21">
      <c r="S421" s="16">
        <v>85</v>
      </c>
      <c r="T421" s="17">
        <v>94</v>
      </c>
      <c r="U421" s="18">
        <v>0.16666666666666666</v>
      </c>
    </row>
    <row r="422" spans="19:21">
      <c r="S422" s="16">
        <v>86</v>
      </c>
      <c r="T422" s="17">
        <v>79</v>
      </c>
      <c r="U422" s="18">
        <v>0.33333333333333331</v>
      </c>
    </row>
    <row r="423" spans="19:21">
      <c r="S423" s="16">
        <v>86</v>
      </c>
      <c r="T423" s="17">
        <v>81</v>
      </c>
      <c r="U423" s="18">
        <v>0.33333333333333331</v>
      </c>
    </row>
    <row r="424" spans="19:21">
      <c r="S424" s="16">
        <v>86</v>
      </c>
      <c r="T424" s="17">
        <v>89</v>
      </c>
      <c r="U424" s="18">
        <v>0.33333333333333331</v>
      </c>
    </row>
    <row r="425" spans="19:21">
      <c r="S425" s="16">
        <v>87</v>
      </c>
      <c r="T425" s="17">
        <v>78</v>
      </c>
      <c r="U425" s="18">
        <v>0.33333333333333331</v>
      </c>
    </row>
    <row r="426" spans="19:21">
      <c r="S426" s="16">
        <v>87</v>
      </c>
      <c r="T426" s="17">
        <v>81</v>
      </c>
      <c r="U426" s="18">
        <v>0.33333333333333331</v>
      </c>
    </row>
    <row r="427" spans="19:21">
      <c r="S427" s="16">
        <v>87</v>
      </c>
      <c r="T427" s="17">
        <v>82</v>
      </c>
      <c r="U427" s="18">
        <v>0.33333333333333331</v>
      </c>
    </row>
    <row r="428" spans="19:21">
      <c r="S428" s="16">
        <v>88</v>
      </c>
      <c r="T428" s="17">
        <v>82</v>
      </c>
      <c r="U428" s="18">
        <v>0.5</v>
      </c>
    </row>
    <row r="429" spans="19:21">
      <c r="S429" s="16">
        <v>88</v>
      </c>
      <c r="T429" s="17">
        <v>84</v>
      </c>
      <c r="U429" s="18">
        <v>0.5</v>
      </c>
    </row>
    <row r="430" spans="19:21">
      <c r="S430" s="16">
        <v>89</v>
      </c>
      <c r="T430" s="17">
        <v>81</v>
      </c>
      <c r="U430" s="18">
        <v>0.33333333333333331</v>
      </c>
    </row>
    <row r="431" spans="19:21">
      <c r="S431" s="16">
        <v>89</v>
      </c>
      <c r="T431" s="17">
        <v>86</v>
      </c>
      <c r="U431" s="18">
        <v>0.33333333333333331</v>
      </c>
    </row>
    <row r="432" spans="19:21">
      <c r="S432" s="16">
        <v>89</v>
      </c>
      <c r="T432" s="17">
        <v>91</v>
      </c>
      <c r="U432" s="18">
        <v>0.33333333333333331</v>
      </c>
    </row>
    <row r="433" spans="19:21">
      <c r="S433" s="16">
        <v>90</v>
      </c>
      <c r="T433" s="17">
        <v>80</v>
      </c>
      <c r="U433" s="18">
        <v>0.2</v>
      </c>
    </row>
    <row r="434" spans="19:21">
      <c r="S434" s="16">
        <v>90</v>
      </c>
      <c r="T434" s="17">
        <v>84</v>
      </c>
      <c r="U434" s="18">
        <v>0.2</v>
      </c>
    </row>
    <row r="435" spans="19:21">
      <c r="S435" s="16">
        <v>90</v>
      </c>
      <c r="T435" s="17">
        <v>85</v>
      </c>
      <c r="U435" s="18">
        <v>0.2</v>
      </c>
    </row>
    <row r="436" spans="19:21">
      <c r="S436" s="16">
        <v>90</v>
      </c>
      <c r="T436" s="17">
        <v>92</v>
      </c>
      <c r="U436" s="18">
        <v>0.2</v>
      </c>
    </row>
    <row r="437" spans="19:21">
      <c r="S437" s="16">
        <v>90</v>
      </c>
      <c r="T437" s="17">
        <v>94</v>
      </c>
      <c r="U437" s="18">
        <v>0.2</v>
      </c>
    </row>
    <row r="438" spans="19:21">
      <c r="S438" s="16">
        <v>91</v>
      </c>
      <c r="T438" s="17">
        <v>81</v>
      </c>
      <c r="U438" s="18">
        <v>0.5</v>
      </c>
    </row>
    <row r="439" spans="19:21">
      <c r="S439" s="16">
        <v>91</v>
      </c>
      <c r="T439" s="17">
        <v>89</v>
      </c>
      <c r="U439" s="18">
        <v>0.5</v>
      </c>
    </row>
    <row r="440" spans="19:21">
      <c r="S440" s="16">
        <v>92</v>
      </c>
      <c r="T440" s="17">
        <v>79</v>
      </c>
      <c r="U440" s="18">
        <v>0.25</v>
      </c>
    </row>
    <row r="441" spans="19:21">
      <c r="S441" s="16">
        <v>92</v>
      </c>
      <c r="T441" s="17">
        <v>80</v>
      </c>
      <c r="U441" s="18">
        <v>0.25</v>
      </c>
    </row>
    <row r="442" spans="19:21">
      <c r="S442" s="16">
        <v>92</v>
      </c>
      <c r="T442" s="17">
        <v>84</v>
      </c>
      <c r="U442" s="18">
        <v>0.25</v>
      </c>
    </row>
    <row r="443" spans="19:21">
      <c r="S443" s="16">
        <v>92</v>
      </c>
      <c r="T443" s="17">
        <v>90</v>
      </c>
      <c r="U443" s="18">
        <v>0.25</v>
      </c>
    </row>
    <row r="444" spans="19:21">
      <c r="S444" s="16">
        <v>93</v>
      </c>
      <c r="T444" s="17">
        <v>84</v>
      </c>
      <c r="U444" s="18">
        <v>0.33333333333333331</v>
      </c>
    </row>
    <row r="445" spans="19:21">
      <c r="S445" s="16">
        <v>93</v>
      </c>
      <c r="T445" s="17">
        <v>85</v>
      </c>
      <c r="U445" s="18">
        <v>0.33333333333333331</v>
      </c>
    </row>
    <row r="446" spans="19:21">
      <c r="S446" s="16">
        <v>93</v>
      </c>
      <c r="T446" s="17">
        <v>94</v>
      </c>
      <c r="U446" s="18">
        <v>0.33333333333333331</v>
      </c>
    </row>
    <row r="447" spans="19:21">
      <c r="S447" s="16">
        <v>94</v>
      </c>
      <c r="T447" s="17">
        <v>84</v>
      </c>
      <c r="U447" s="18">
        <v>0.25</v>
      </c>
    </row>
    <row r="448" spans="19:21">
      <c r="S448" s="16">
        <v>94</v>
      </c>
      <c r="T448" s="17">
        <v>85</v>
      </c>
      <c r="U448" s="18">
        <v>0.25</v>
      </c>
    </row>
    <row r="449" spans="19:21">
      <c r="S449" s="16">
        <v>94</v>
      </c>
      <c r="T449" s="17">
        <v>90</v>
      </c>
      <c r="U449" s="18">
        <v>0.25</v>
      </c>
    </row>
    <row r="450" spans="19:21">
      <c r="S450" s="16">
        <v>94</v>
      </c>
      <c r="T450" s="17">
        <v>93</v>
      </c>
      <c r="U450" s="18">
        <v>0.25</v>
      </c>
    </row>
    <row r="451" spans="19:21">
      <c r="S451" s="16">
        <v>95</v>
      </c>
      <c r="T451" s="17">
        <v>53</v>
      </c>
      <c r="U451" s="18">
        <v>0.125</v>
      </c>
    </row>
    <row r="452" spans="19:21">
      <c r="S452" s="16">
        <v>95</v>
      </c>
      <c r="T452" s="17">
        <v>61</v>
      </c>
      <c r="U452" s="18">
        <v>0.125</v>
      </c>
    </row>
    <row r="453" spans="19:21">
      <c r="S453" s="16">
        <v>95</v>
      </c>
      <c r="T453" s="17">
        <v>62</v>
      </c>
      <c r="U453" s="18">
        <v>0.125</v>
      </c>
    </row>
    <row r="454" spans="19:21">
      <c r="S454" s="16">
        <v>95</v>
      </c>
      <c r="T454" s="17">
        <v>97</v>
      </c>
      <c r="U454" s="18">
        <v>0.125</v>
      </c>
    </row>
    <row r="455" spans="19:21">
      <c r="S455" s="16">
        <v>95</v>
      </c>
      <c r="T455" s="17">
        <v>100</v>
      </c>
      <c r="U455" s="18">
        <v>0.125</v>
      </c>
    </row>
    <row r="456" spans="19:21">
      <c r="S456" s="16">
        <v>95</v>
      </c>
      <c r="T456" s="17">
        <v>101</v>
      </c>
      <c r="U456" s="18">
        <v>0.125</v>
      </c>
    </row>
    <row r="457" spans="19:21">
      <c r="S457" s="16">
        <v>95</v>
      </c>
      <c r="T457" s="17">
        <v>102</v>
      </c>
      <c r="U457" s="18">
        <v>0.125</v>
      </c>
    </row>
    <row r="458" spans="19:21">
      <c r="S458" s="16">
        <v>95</v>
      </c>
      <c r="T458" s="17">
        <v>103</v>
      </c>
      <c r="U458" s="18">
        <v>0.125</v>
      </c>
    </row>
    <row r="459" spans="19:21">
      <c r="S459" s="16">
        <v>96</v>
      </c>
      <c r="T459" s="17">
        <v>98</v>
      </c>
      <c r="U459" s="18">
        <v>0.125</v>
      </c>
    </row>
    <row r="460" spans="19:21">
      <c r="S460" s="16">
        <v>96</v>
      </c>
      <c r="T460" s="17">
        <v>99</v>
      </c>
      <c r="U460" s="18">
        <v>0.125</v>
      </c>
    </row>
    <row r="461" spans="19:21">
      <c r="S461" s="16">
        <v>96</v>
      </c>
      <c r="T461" s="17">
        <v>101</v>
      </c>
      <c r="U461" s="18">
        <v>0.125</v>
      </c>
    </row>
    <row r="462" spans="19:21">
      <c r="S462" s="16">
        <v>96</v>
      </c>
      <c r="T462" s="17">
        <v>103</v>
      </c>
      <c r="U462" s="18">
        <v>0.125</v>
      </c>
    </row>
    <row r="463" spans="19:21">
      <c r="S463" s="16">
        <v>96</v>
      </c>
      <c r="T463" s="17">
        <v>104</v>
      </c>
      <c r="U463" s="18">
        <v>0.125</v>
      </c>
    </row>
    <row r="464" spans="19:21">
      <c r="S464" s="16">
        <v>96</v>
      </c>
      <c r="T464" s="17">
        <v>106</v>
      </c>
      <c r="U464" s="18">
        <v>0.125</v>
      </c>
    </row>
    <row r="465" spans="19:21">
      <c r="S465" s="16">
        <v>96</v>
      </c>
      <c r="T465" s="17">
        <v>107</v>
      </c>
      <c r="U465" s="18">
        <v>0.125</v>
      </c>
    </row>
    <row r="466" spans="19:21">
      <c r="S466" s="16">
        <v>96</v>
      </c>
      <c r="T466" s="17">
        <v>108</v>
      </c>
      <c r="U466" s="18">
        <v>0.125</v>
      </c>
    </row>
    <row r="467" spans="19:21">
      <c r="S467" s="16">
        <v>97</v>
      </c>
      <c r="T467" s="17">
        <v>61</v>
      </c>
      <c r="U467" s="18">
        <v>0.33333333333333331</v>
      </c>
    </row>
    <row r="468" spans="19:21">
      <c r="S468" s="16">
        <v>97</v>
      </c>
      <c r="T468" s="17">
        <v>95</v>
      </c>
      <c r="U468" s="18">
        <v>0.33333333333333331</v>
      </c>
    </row>
    <row r="469" spans="19:21">
      <c r="S469" s="16">
        <v>97</v>
      </c>
      <c r="T469" s="17">
        <v>102</v>
      </c>
      <c r="U469" s="18">
        <v>0.33333333333333331</v>
      </c>
    </row>
    <row r="470" spans="19:21">
      <c r="S470" s="16">
        <v>98</v>
      </c>
      <c r="T470" s="17">
        <v>48</v>
      </c>
      <c r="U470" s="18">
        <v>0.2</v>
      </c>
    </row>
    <row r="471" spans="19:21">
      <c r="S471" s="16">
        <v>98</v>
      </c>
      <c r="T471" s="17">
        <v>96</v>
      </c>
      <c r="U471" s="18">
        <v>0.2</v>
      </c>
    </row>
    <row r="472" spans="19:21">
      <c r="S472" s="16">
        <v>98</v>
      </c>
      <c r="T472" s="17">
        <v>99</v>
      </c>
      <c r="U472" s="18">
        <v>0.2</v>
      </c>
    </row>
    <row r="473" spans="19:21">
      <c r="S473" s="16">
        <v>98</v>
      </c>
      <c r="T473" s="17">
        <v>105</v>
      </c>
      <c r="U473" s="18">
        <v>0.2</v>
      </c>
    </row>
    <row r="474" spans="19:21">
      <c r="S474" s="16">
        <v>98</v>
      </c>
      <c r="T474" s="17">
        <v>106</v>
      </c>
      <c r="U474" s="18">
        <v>0.2</v>
      </c>
    </row>
    <row r="475" spans="19:21">
      <c r="S475" s="16">
        <v>99</v>
      </c>
      <c r="T475" s="17">
        <v>96</v>
      </c>
      <c r="U475" s="18">
        <v>0.33333333333333331</v>
      </c>
    </row>
    <row r="476" spans="19:21">
      <c r="S476" s="16">
        <v>99</v>
      </c>
      <c r="T476" s="17">
        <v>98</v>
      </c>
      <c r="U476" s="18">
        <v>0.33333333333333331</v>
      </c>
    </row>
    <row r="477" spans="19:21">
      <c r="S477" s="16">
        <v>99</v>
      </c>
      <c r="T477" s="17">
        <v>107</v>
      </c>
      <c r="U477" s="18">
        <v>0.33333333333333331</v>
      </c>
    </row>
    <row r="478" spans="19:21">
      <c r="S478" s="16">
        <v>100</v>
      </c>
      <c r="T478" s="17">
        <v>95</v>
      </c>
      <c r="U478" s="18">
        <v>0.33333333333333331</v>
      </c>
    </row>
    <row r="479" spans="19:21">
      <c r="S479" s="16">
        <v>100</v>
      </c>
      <c r="T479" s="17">
        <v>101</v>
      </c>
      <c r="U479" s="18">
        <v>0.33333333333333331</v>
      </c>
    </row>
    <row r="480" spans="19:21">
      <c r="S480" s="16">
        <v>100</v>
      </c>
      <c r="T480" s="17">
        <v>103</v>
      </c>
      <c r="U480" s="18">
        <v>0.33333333333333331</v>
      </c>
    </row>
    <row r="481" spans="19:21">
      <c r="S481" s="16">
        <v>101</v>
      </c>
      <c r="T481" s="17">
        <v>33</v>
      </c>
      <c r="U481" s="18">
        <v>0.1111111111111111</v>
      </c>
    </row>
    <row r="482" spans="19:21">
      <c r="S482" s="16">
        <v>101</v>
      </c>
      <c r="T482" s="17">
        <v>59</v>
      </c>
      <c r="U482" s="18">
        <v>0.1111111111111111</v>
      </c>
    </row>
    <row r="483" spans="19:21">
      <c r="S483" s="16">
        <v>101</v>
      </c>
      <c r="T483" s="17">
        <v>62</v>
      </c>
      <c r="U483" s="18">
        <v>0.1111111111111111</v>
      </c>
    </row>
    <row r="484" spans="19:21">
      <c r="S484" s="16">
        <v>101</v>
      </c>
      <c r="T484" s="17">
        <v>95</v>
      </c>
      <c r="U484" s="18">
        <v>0.1111111111111111</v>
      </c>
    </row>
    <row r="485" spans="19:21">
      <c r="S485" s="16">
        <v>101</v>
      </c>
      <c r="T485" s="17">
        <v>96</v>
      </c>
      <c r="U485" s="18">
        <v>0.1111111111111111</v>
      </c>
    </row>
    <row r="486" spans="19:21">
      <c r="S486" s="16">
        <v>101</v>
      </c>
      <c r="T486" s="17">
        <v>100</v>
      </c>
      <c r="U486" s="18">
        <v>0.1111111111111111</v>
      </c>
    </row>
    <row r="487" spans="19:21">
      <c r="S487" s="16">
        <v>101</v>
      </c>
      <c r="T487" s="17">
        <v>103</v>
      </c>
      <c r="U487" s="18">
        <v>0.1111111111111111</v>
      </c>
    </row>
    <row r="488" spans="19:21">
      <c r="S488" s="16">
        <v>101</v>
      </c>
      <c r="T488" s="17">
        <v>104</v>
      </c>
      <c r="U488" s="18">
        <v>0.1111111111111111</v>
      </c>
    </row>
    <row r="489" spans="19:21">
      <c r="S489" s="16">
        <v>101</v>
      </c>
      <c r="T489" s="17">
        <v>108</v>
      </c>
      <c r="U489" s="18">
        <v>0.1111111111111111</v>
      </c>
    </row>
    <row r="490" spans="19:21">
      <c r="S490" s="16">
        <v>102</v>
      </c>
      <c r="T490" s="17">
        <v>44</v>
      </c>
      <c r="U490" s="18">
        <v>0.25</v>
      </c>
    </row>
    <row r="491" spans="19:21">
      <c r="S491" s="16">
        <v>102</v>
      </c>
      <c r="T491" s="17">
        <v>53</v>
      </c>
      <c r="U491" s="18">
        <v>0.25</v>
      </c>
    </row>
    <row r="492" spans="19:21">
      <c r="S492" s="16">
        <v>102</v>
      </c>
      <c r="T492" s="17">
        <v>95</v>
      </c>
      <c r="U492" s="18">
        <v>0.25</v>
      </c>
    </row>
    <row r="493" spans="19:21">
      <c r="S493" s="16">
        <v>102</v>
      </c>
      <c r="T493" s="17">
        <v>97</v>
      </c>
      <c r="U493" s="18">
        <v>0.25</v>
      </c>
    </row>
    <row r="494" spans="19:21">
      <c r="S494" s="16">
        <v>103</v>
      </c>
      <c r="T494" s="17">
        <v>48</v>
      </c>
      <c r="U494" s="18">
        <v>0.1111111111111111</v>
      </c>
    </row>
    <row r="495" spans="19:21">
      <c r="S495" s="16">
        <v>103</v>
      </c>
      <c r="T495" s="17">
        <v>49</v>
      </c>
      <c r="U495" s="18">
        <v>0.1111111111111111</v>
      </c>
    </row>
    <row r="496" spans="19:21">
      <c r="S496" s="16">
        <v>103</v>
      </c>
      <c r="T496" s="17">
        <v>53</v>
      </c>
      <c r="U496" s="18">
        <v>0.1111111111111111</v>
      </c>
    </row>
    <row r="497" spans="19:21">
      <c r="S497" s="16">
        <v>103</v>
      </c>
      <c r="T497" s="17">
        <v>95</v>
      </c>
      <c r="U497" s="18">
        <v>0.1111111111111111</v>
      </c>
    </row>
    <row r="498" spans="19:21">
      <c r="S498" s="16">
        <v>103</v>
      </c>
      <c r="T498" s="17">
        <v>96</v>
      </c>
      <c r="U498" s="18">
        <v>0.1111111111111111</v>
      </c>
    </row>
    <row r="499" spans="19:21">
      <c r="S499" s="16">
        <v>103</v>
      </c>
      <c r="T499" s="17">
        <v>100</v>
      </c>
      <c r="U499" s="18">
        <v>0.1111111111111111</v>
      </c>
    </row>
    <row r="500" spans="19:21">
      <c r="S500" s="16">
        <v>103</v>
      </c>
      <c r="T500" s="17">
        <v>101</v>
      </c>
      <c r="U500" s="18">
        <v>0.1111111111111111</v>
      </c>
    </row>
    <row r="501" spans="19:21">
      <c r="S501" s="16">
        <v>103</v>
      </c>
      <c r="T501" s="17">
        <v>105</v>
      </c>
      <c r="U501" s="18">
        <v>0.1111111111111111</v>
      </c>
    </row>
    <row r="502" spans="19:21">
      <c r="S502" s="16">
        <v>103</v>
      </c>
      <c r="T502" s="17">
        <v>106</v>
      </c>
      <c r="U502" s="18">
        <v>0.1111111111111111</v>
      </c>
    </row>
    <row r="503" spans="19:21">
      <c r="S503" s="16">
        <v>104</v>
      </c>
      <c r="T503" s="17">
        <v>19</v>
      </c>
      <c r="U503" s="18">
        <v>0.14285714285714285</v>
      </c>
    </row>
    <row r="504" spans="19:21">
      <c r="S504" s="16">
        <v>104</v>
      </c>
      <c r="T504" s="17">
        <v>33</v>
      </c>
      <c r="U504" s="18">
        <v>0.14285714285714285</v>
      </c>
    </row>
    <row r="505" spans="19:21">
      <c r="S505" s="16">
        <v>104</v>
      </c>
      <c r="T505" s="17">
        <v>34</v>
      </c>
      <c r="U505" s="18">
        <v>0.14285714285714285</v>
      </c>
    </row>
    <row r="506" spans="19:21">
      <c r="S506" s="16">
        <v>104</v>
      </c>
      <c r="T506" s="17">
        <v>96</v>
      </c>
      <c r="U506" s="18">
        <v>0.14285714285714285</v>
      </c>
    </row>
    <row r="507" spans="19:21">
      <c r="S507" s="16">
        <v>104</v>
      </c>
      <c r="T507" s="17">
        <v>101</v>
      </c>
      <c r="U507" s="18">
        <v>0.14285714285714285</v>
      </c>
    </row>
    <row r="508" spans="19:21">
      <c r="S508" s="16">
        <v>104</v>
      </c>
      <c r="T508" s="17">
        <v>107</v>
      </c>
      <c r="U508" s="18">
        <v>0.14285714285714285</v>
      </c>
    </row>
    <row r="509" spans="19:21">
      <c r="S509" s="16">
        <v>104</v>
      </c>
      <c r="T509" s="17">
        <v>108</v>
      </c>
      <c r="U509" s="18">
        <v>0.14285714285714285</v>
      </c>
    </row>
    <row r="510" spans="19:21">
      <c r="S510" s="16">
        <v>105</v>
      </c>
      <c r="T510" s="17">
        <v>48</v>
      </c>
      <c r="U510" s="18">
        <v>0.25</v>
      </c>
    </row>
    <row r="511" spans="19:21">
      <c r="S511" s="16">
        <v>105</v>
      </c>
      <c r="T511" s="17">
        <v>98</v>
      </c>
      <c r="U511" s="18">
        <v>0.25</v>
      </c>
    </row>
    <row r="512" spans="19:21">
      <c r="S512" s="16">
        <v>105</v>
      </c>
      <c r="T512" s="17">
        <v>103</v>
      </c>
      <c r="U512" s="18">
        <v>0.25</v>
      </c>
    </row>
    <row r="513" spans="19:21">
      <c r="S513" s="16">
        <v>105</v>
      </c>
      <c r="T513" s="17">
        <v>106</v>
      </c>
      <c r="U513" s="18">
        <v>0.25</v>
      </c>
    </row>
    <row r="514" spans="19:21">
      <c r="S514" s="16">
        <v>106</v>
      </c>
      <c r="T514" s="17">
        <v>96</v>
      </c>
      <c r="U514" s="18">
        <v>0.25</v>
      </c>
    </row>
    <row r="515" spans="19:21">
      <c r="S515" s="16">
        <v>106</v>
      </c>
      <c r="T515" s="17">
        <v>98</v>
      </c>
      <c r="U515" s="18">
        <v>0.25</v>
      </c>
    </row>
    <row r="516" spans="19:21">
      <c r="S516" s="16">
        <v>106</v>
      </c>
      <c r="T516" s="17">
        <v>103</v>
      </c>
      <c r="U516" s="18">
        <v>0.25</v>
      </c>
    </row>
    <row r="517" spans="19:21">
      <c r="S517" s="16">
        <v>106</v>
      </c>
      <c r="T517" s="17">
        <v>105</v>
      </c>
      <c r="U517" s="18">
        <v>0.25</v>
      </c>
    </row>
    <row r="518" spans="19:21">
      <c r="S518" s="16">
        <v>107</v>
      </c>
      <c r="T518" s="17">
        <v>19</v>
      </c>
      <c r="U518" s="18">
        <v>0.16666666666666666</v>
      </c>
    </row>
    <row r="519" spans="19:21">
      <c r="S519" s="16">
        <v>107</v>
      </c>
      <c r="T519" s="17">
        <v>21</v>
      </c>
      <c r="U519" s="18">
        <v>0.16666666666666666</v>
      </c>
    </row>
    <row r="520" spans="19:21">
      <c r="S520" s="16">
        <v>107</v>
      </c>
      <c r="T520" s="17">
        <v>22</v>
      </c>
      <c r="U520" s="18">
        <v>0.16666666666666666</v>
      </c>
    </row>
    <row r="521" spans="19:21">
      <c r="S521" s="16">
        <v>107</v>
      </c>
      <c r="T521" s="17">
        <v>96</v>
      </c>
      <c r="U521" s="18">
        <v>0.16666666666666666</v>
      </c>
    </row>
    <row r="522" spans="19:21">
      <c r="S522" s="16">
        <v>107</v>
      </c>
      <c r="T522" s="17">
        <v>99</v>
      </c>
      <c r="U522" s="18">
        <v>0.16666666666666666</v>
      </c>
    </row>
    <row r="523" spans="19:21">
      <c r="S523" s="16">
        <v>107</v>
      </c>
      <c r="T523" s="17">
        <v>104</v>
      </c>
      <c r="U523" s="18">
        <v>0.16666666666666666</v>
      </c>
    </row>
    <row r="524" spans="19:21">
      <c r="S524" s="16">
        <v>108</v>
      </c>
      <c r="T524" s="17">
        <v>19</v>
      </c>
      <c r="U524" s="18">
        <v>0.16666666666666666</v>
      </c>
    </row>
    <row r="525" spans="19:21">
      <c r="S525" s="16">
        <v>108</v>
      </c>
      <c r="T525" s="17">
        <v>33</v>
      </c>
      <c r="U525" s="18">
        <v>0.16666666666666666</v>
      </c>
    </row>
    <row r="526" spans="19:21">
      <c r="S526" s="16">
        <v>108</v>
      </c>
      <c r="T526" s="17">
        <v>34</v>
      </c>
      <c r="U526" s="18">
        <v>0.16666666666666666</v>
      </c>
    </row>
    <row r="527" spans="19:21">
      <c r="S527" s="16">
        <v>108</v>
      </c>
      <c r="T527" s="17">
        <v>96</v>
      </c>
      <c r="U527" s="18">
        <v>0.16666666666666666</v>
      </c>
    </row>
    <row r="528" spans="19:21">
      <c r="S528" s="16">
        <v>108</v>
      </c>
      <c r="T528" s="17">
        <v>101</v>
      </c>
      <c r="U528" s="18">
        <v>0.16666666666666666</v>
      </c>
    </row>
    <row r="529" spans="19:21" ht="15.75" thickBot="1">
      <c r="S529" s="19">
        <v>108</v>
      </c>
      <c r="T529" s="20">
        <v>104</v>
      </c>
      <c r="U529" s="21">
        <v>0.16666666666666666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B4:K113"/>
  <sheetViews>
    <sheetView tabSelected="1" workbookViewId="0">
      <selection activeCell="L15" sqref="L15"/>
    </sheetView>
  </sheetViews>
  <sheetFormatPr defaultRowHeight="15"/>
  <cols>
    <col min="1" max="1" width="9.140625" style="3"/>
    <col min="2" max="2" width="15.7109375" style="3" bestFit="1" customWidth="1"/>
    <col min="3" max="3" width="11.5703125" style="3" bestFit="1" customWidth="1"/>
    <col min="4" max="4" width="18.7109375" style="3" bestFit="1" customWidth="1"/>
    <col min="5" max="8" width="9.140625" style="3"/>
    <col min="9" max="9" width="9.5703125" style="3" bestFit="1" customWidth="1"/>
    <col min="10" max="10" width="30.7109375" style="3" bestFit="1" customWidth="1"/>
    <col min="11" max="11" width="33.28515625" style="3" customWidth="1"/>
    <col min="12" max="16384" width="9.140625" style="3"/>
  </cols>
  <sheetData>
    <row r="4" spans="2:11" ht="15.75" thickBot="1"/>
    <row r="5" spans="2:11" ht="15.75" thickBot="1">
      <c r="B5" s="23" t="s">
        <v>1</v>
      </c>
      <c r="C5" s="46" t="s">
        <v>2</v>
      </c>
      <c r="D5" s="46" t="s">
        <v>3</v>
      </c>
      <c r="E5" s="46" t="s">
        <v>0</v>
      </c>
      <c r="F5" s="9" t="s">
        <v>148</v>
      </c>
      <c r="G5" s="9" t="s">
        <v>149</v>
      </c>
      <c r="H5" s="9" t="s">
        <v>150</v>
      </c>
      <c r="I5" s="9" t="s">
        <v>151</v>
      </c>
      <c r="J5" s="24" t="s">
        <v>153</v>
      </c>
      <c r="K5" s="46" t="s">
        <v>154</v>
      </c>
    </row>
    <row r="6" spans="2:11">
      <c r="B6" s="22" t="s">
        <v>7</v>
      </c>
      <c r="C6" s="25" t="s">
        <v>8</v>
      </c>
      <c r="D6" s="25" t="s">
        <v>9</v>
      </c>
      <c r="E6" s="25">
        <v>1</v>
      </c>
      <c r="F6" s="64">
        <v>8.0590456711017597E-2</v>
      </c>
      <c r="G6" s="64">
        <v>3.5549995640063101E-2</v>
      </c>
      <c r="H6" s="74">
        <v>6.9186470175662096E-2</v>
      </c>
      <c r="I6" s="74">
        <v>3.22870974566778E-2</v>
      </c>
      <c r="J6" s="66">
        <f>G6+I6</f>
        <v>6.7837093096740908E-2</v>
      </c>
      <c r="K6" s="65">
        <f t="shared" ref="K6:K37" si="0">F6+H6</f>
        <v>0.14977692688667971</v>
      </c>
    </row>
    <row r="7" spans="2:11">
      <c r="B7" s="5" t="s">
        <v>7</v>
      </c>
      <c r="C7" s="3" t="s">
        <v>8</v>
      </c>
      <c r="D7" s="3" t="s">
        <v>10</v>
      </c>
      <c r="E7" s="3">
        <v>2</v>
      </c>
      <c r="F7" s="62">
        <v>8.4402341706869999E-2</v>
      </c>
      <c r="G7" s="62">
        <v>4.3368926324252002E-2</v>
      </c>
      <c r="H7" s="74">
        <v>7.1720492899119706E-2</v>
      </c>
      <c r="I7" s="74">
        <v>3.6331644906698601E-2</v>
      </c>
      <c r="J7" s="67">
        <f>G7+I7</f>
        <v>7.9700571230950604E-2</v>
      </c>
      <c r="K7" s="63">
        <f t="shared" si="0"/>
        <v>0.15612283460598969</v>
      </c>
    </row>
    <row r="8" spans="2:11">
      <c r="B8" s="5" t="s">
        <v>7</v>
      </c>
      <c r="C8" s="3" t="s">
        <v>8</v>
      </c>
      <c r="D8" s="3" t="s">
        <v>11</v>
      </c>
      <c r="E8" s="3">
        <v>3</v>
      </c>
      <c r="F8" s="62">
        <v>7.0822637722866094E-2</v>
      </c>
      <c r="G8" s="62">
        <v>2.8049523176408998E-2</v>
      </c>
      <c r="H8" s="74">
        <v>6.7955606265122495E-2</v>
      </c>
      <c r="I8" s="74">
        <v>2.7238579081388398E-2</v>
      </c>
      <c r="J8" s="67">
        <f t="shared" ref="J8:J71" si="1">G8+I8</f>
        <v>5.52881022577974E-2</v>
      </c>
      <c r="K8" s="63">
        <f t="shared" si="0"/>
        <v>0.1387782439879886</v>
      </c>
    </row>
    <row r="9" spans="2:11">
      <c r="B9" s="5" t="s">
        <v>7</v>
      </c>
      <c r="C9" s="3" t="s">
        <v>8</v>
      </c>
      <c r="D9" s="3" t="s">
        <v>12</v>
      </c>
      <c r="E9" s="3">
        <v>4</v>
      </c>
      <c r="F9" s="62">
        <v>7.8613941420551697E-2</v>
      </c>
      <c r="G9" s="62">
        <v>3.2648545146625303E-2</v>
      </c>
      <c r="H9" s="74">
        <v>6.9679268095194702E-2</v>
      </c>
      <c r="I9" s="74">
        <v>2.9306635772015699E-2</v>
      </c>
      <c r="J9" s="67">
        <f t="shared" si="1"/>
        <v>6.1955180918641002E-2</v>
      </c>
      <c r="K9" s="63">
        <f t="shared" si="0"/>
        <v>0.1482932095157464</v>
      </c>
    </row>
    <row r="10" spans="2:11">
      <c r="B10" s="5" t="s">
        <v>7</v>
      </c>
      <c r="C10" s="3" t="s">
        <v>8</v>
      </c>
      <c r="D10" s="3" t="s">
        <v>13</v>
      </c>
      <c r="E10" s="3">
        <v>5</v>
      </c>
      <c r="F10" s="62">
        <v>7.6742693143607099E-2</v>
      </c>
      <c r="G10" s="62">
        <v>3.2548524937107699E-2</v>
      </c>
      <c r="H10" s="74">
        <v>7.0870974928873703E-2</v>
      </c>
      <c r="I10" s="74">
        <v>3.2067101882577498E-2</v>
      </c>
      <c r="J10" s="67">
        <f t="shared" si="1"/>
        <v>6.461562681968519E-2</v>
      </c>
      <c r="K10" s="63">
        <f t="shared" si="0"/>
        <v>0.1476136680724808</v>
      </c>
    </row>
    <row r="11" spans="2:11">
      <c r="B11" s="5" t="s">
        <v>7</v>
      </c>
      <c r="C11" s="3" t="s">
        <v>8</v>
      </c>
      <c r="D11" s="3" t="s">
        <v>14</v>
      </c>
      <c r="E11" s="3">
        <v>6</v>
      </c>
      <c r="F11" s="62">
        <v>8.3268809217287701E-2</v>
      </c>
      <c r="G11" s="62">
        <v>3.7274937806179603E-2</v>
      </c>
      <c r="H11" s="74">
        <v>8.0494197526185099E-2</v>
      </c>
      <c r="I11" s="74">
        <v>3.9565607484896799E-2</v>
      </c>
      <c r="J11" s="67">
        <f t="shared" si="1"/>
        <v>7.6840545291076395E-2</v>
      </c>
      <c r="K11" s="63">
        <f t="shared" si="0"/>
        <v>0.1637630067434728</v>
      </c>
    </row>
    <row r="12" spans="2:11">
      <c r="B12" s="5" t="s">
        <v>7</v>
      </c>
      <c r="C12" s="3" t="s">
        <v>8</v>
      </c>
      <c r="D12" s="3" t="s">
        <v>15</v>
      </c>
      <c r="E12" s="3">
        <v>7</v>
      </c>
      <c r="F12" s="62">
        <v>7.7142060035387094E-2</v>
      </c>
      <c r="G12" s="62">
        <v>3.26587889626287E-2</v>
      </c>
      <c r="H12" s="74">
        <v>7.75349457864873E-2</v>
      </c>
      <c r="I12" s="74">
        <v>3.55339125904887E-2</v>
      </c>
      <c r="J12" s="67">
        <f t="shared" si="1"/>
        <v>6.8192701553117407E-2</v>
      </c>
      <c r="K12" s="63">
        <f t="shared" si="0"/>
        <v>0.15467700582187438</v>
      </c>
    </row>
    <row r="13" spans="2:11">
      <c r="B13" s="5" t="s">
        <v>7</v>
      </c>
      <c r="C13" s="3" t="s">
        <v>8</v>
      </c>
      <c r="D13" s="3" t="s">
        <v>16</v>
      </c>
      <c r="E13" s="3">
        <v>8</v>
      </c>
      <c r="F13" s="62">
        <v>7.7662652683487196E-2</v>
      </c>
      <c r="G13" s="62">
        <v>3.8189413323350602E-2</v>
      </c>
      <c r="H13" s="74">
        <v>6.3989554740006602E-2</v>
      </c>
      <c r="I13" s="74">
        <v>3.0741686704919599E-2</v>
      </c>
      <c r="J13" s="67">
        <f t="shared" si="1"/>
        <v>6.8931100028270201E-2</v>
      </c>
      <c r="K13" s="63">
        <f t="shared" si="0"/>
        <v>0.1416522074234938</v>
      </c>
    </row>
    <row r="14" spans="2:11">
      <c r="B14" s="5" t="s">
        <v>7</v>
      </c>
      <c r="C14" s="3" t="s">
        <v>8</v>
      </c>
      <c r="D14" s="3" t="s">
        <v>17</v>
      </c>
      <c r="E14" s="3">
        <v>9</v>
      </c>
      <c r="F14" s="62">
        <v>7.5334064360513001E-2</v>
      </c>
      <c r="G14" s="62">
        <v>2.89165174567865E-2</v>
      </c>
      <c r="H14" s="74">
        <v>6.1041213061291101E-2</v>
      </c>
      <c r="I14" s="74">
        <v>2.70003917210365E-2</v>
      </c>
      <c r="J14" s="67">
        <f t="shared" si="1"/>
        <v>5.5916909177823E-2</v>
      </c>
      <c r="K14" s="63">
        <f t="shared" si="0"/>
        <v>0.13637527742180411</v>
      </c>
    </row>
    <row r="15" spans="2:11">
      <c r="B15" s="5" t="s">
        <v>7</v>
      </c>
      <c r="C15" s="3" t="s">
        <v>8</v>
      </c>
      <c r="D15" s="3" t="s">
        <v>18</v>
      </c>
      <c r="E15" s="3">
        <v>10</v>
      </c>
      <c r="F15" s="62">
        <v>8.1216614959164393E-2</v>
      </c>
      <c r="G15" s="62">
        <v>3.5098820365553098E-2</v>
      </c>
      <c r="H15" s="74">
        <v>6.4466925658098403E-2</v>
      </c>
      <c r="I15" s="74">
        <v>2.9169429279714401E-2</v>
      </c>
      <c r="J15" s="67">
        <f t="shared" si="1"/>
        <v>6.4268249645267506E-2</v>
      </c>
      <c r="K15" s="63">
        <f t="shared" si="0"/>
        <v>0.1456835406172628</v>
      </c>
    </row>
    <row r="16" spans="2:11">
      <c r="B16" s="5" t="s">
        <v>7</v>
      </c>
      <c r="C16" s="3" t="s">
        <v>8</v>
      </c>
      <c r="D16" s="3" t="s">
        <v>19</v>
      </c>
      <c r="E16" s="3">
        <v>11</v>
      </c>
      <c r="F16" s="62">
        <v>7.5817602925581096E-2</v>
      </c>
      <c r="G16" s="62">
        <v>3.2668242781622697E-2</v>
      </c>
      <c r="H16" s="74">
        <v>8.2543242366111005E-2</v>
      </c>
      <c r="I16" s="74">
        <v>4.3046604323796603E-2</v>
      </c>
      <c r="J16" s="67">
        <f t="shared" si="1"/>
        <v>7.57148471054193E-2</v>
      </c>
      <c r="K16" s="63">
        <f t="shared" si="0"/>
        <v>0.15836084529169209</v>
      </c>
    </row>
    <row r="17" spans="2:11">
      <c r="B17" s="5" t="s">
        <v>7</v>
      </c>
      <c r="C17" s="3" t="s">
        <v>8</v>
      </c>
      <c r="D17" s="3" t="s">
        <v>20</v>
      </c>
      <c r="E17" s="3">
        <v>12</v>
      </c>
      <c r="F17" s="62">
        <v>7.8836145811106303E-2</v>
      </c>
      <c r="G17" s="62">
        <v>3.4857316586396798E-2</v>
      </c>
      <c r="H17" s="74">
        <v>7.9550711486534503E-2</v>
      </c>
      <c r="I17" s="74">
        <v>4.1300924885181001E-2</v>
      </c>
      <c r="J17" s="67">
        <f t="shared" si="1"/>
        <v>7.6158241471577792E-2</v>
      </c>
      <c r="K17" s="63">
        <f t="shared" si="0"/>
        <v>0.15838685729764079</v>
      </c>
    </row>
    <row r="18" spans="2:11">
      <c r="B18" s="5" t="s">
        <v>7</v>
      </c>
      <c r="C18" s="3" t="s">
        <v>8</v>
      </c>
      <c r="D18" s="3" t="s">
        <v>21</v>
      </c>
      <c r="E18" s="3">
        <v>13</v>
      </c>
      <c r="F18" s="62">
        <v>7.44021551098899E-2</v>
      </c>
      <c r="G18" s="62">
        <v>3.2463659322461202E-2</v>
      </c>
      <c r="H18" s="74">
        <v>6.9353090649311597E-2</v>
      </c>
      <c r="I18" s="74">
        <v>3.1346198382315803E-2</v>
      </c>
      <c r="J18" s="67">
        <f t="shared" si="1"/>
        <v>6.3809857704777012E-2</v>
      </c>
      <c r="K18" s="63">
        <f t="shared" si="0"/>
        <v>0.14375524575920151</v>
      </c>
    </row>
    <row r="19" spans="2:11">
      <c r="B19" s="5" t="s">
        <v>7</v>
      </c>
      <c r="C19" s="3" t="s">
        <v>8</v>
      </c>
      <c r="D19" s="3" t="s">
        <v>22</v>
      </c>
      <c r="E19" s="3">
        <v>14</v>
      </c>
      <c r="F19" s="62">
        <v>8.2223859750108097E-2</v>
      </c>
      <c r="G19" s="62">
        <v>3.8057807478793698E-2</v>
      </c>
      <c r="H19" s="74">
        <v>6.5476069019948305E-2</v>
      </c>
      <c r="I19" s="74">
        <v>3.0065220415452999E-2</v>
      </c>
      <c r="J19" s="67">
        <f t="shared" si="1"/>
        <v>6.8123027894246693E-2</v>
      </c>
      <c r="K19" s="63">
        <f t="shared" si="0"/>
        <v>0.14769992877005639</v>
      </c>
    </row>
    <row r="20" spans="2:11">
      <c r="B20" s="5" t="s">
        <v>23</v>
      </c>
      <c r="C20" s="3" t="s">
        <v>24</v>
      </c>
      <c r="D20" s="3" t="s">
        <v>25</v>
      </c>
      <c r="E20" s="3">
        <v>15</v>
      </c>
      <c r="F20" s="62">
        <v>7.0538870099671705E-2</v>
      </c>
      <c r="G20" s="62">
        <v>2.7486150023564498E-2</v>
      </c>
      <c r="H20" s="74">
        <v>7.0938516029728102E-2</v>
      </c>
      <c r="I20" s="74">
        <v>2.7061693025156E-2</v>
      </c>
      <c r="J20" s="67">
        <f t="shared" si="1"/>
        <v>5.4547843048720498E-2</v>
      </c>
      <c r="K20" s="63">
        <f t="shared" si="0"/>
        <v>0.14147738612939981</v>
      </c>
    </row>
    <row r="21" spans="2:11">
      <c r="B21" s="5" t="s">
        <v>23</v>
      </c>
      <c r="C21" s="3" t="s">
        <v>24</v>
      </c>
      <c r="D21" s="3" t="s">
        <v>26</v>
      </c>
      <c r="E21" s="3">
        <v>16</v>
      </c>
      <c r="F21" s="62">
        <v>5.4896135601658701E-2</v>
      </c>
      <c r="G21" s="62">
        <v>2.21572984912034E-2</v>
      </c>
      <c r="H21" s="74">
        <v>7.1175675245414904E-2</v>
      </c>
      <c r="I21" s="74">
        <v>3.30015953211691E-2</v>
      </c>
      <c r="J21" s="67">
        <f t="shared" si="1"/>
        <v>5.5158893812372503E-2</v>
      </c>
      <c r="K21" s="63">
        <f t="shared" si="0"/>
        <v>0.12607181084707361</v>
      </c>
    </row>
    <row r="22" spans="2:11">
      <c r="B22" s="5" t="s">
        <v>23</v>
      </c>
      <c r="C22" s="3" t="s">
        <v>24</v>
      </c>
      <c r="D22" s="3" t="s">
        <v>27</v>
      </c>
      <c r="E22" s="3">
        <v>17</v>
      </c>
      <c r="F22" s="62">
        <v>7.3341161368874502E-2</v>
      </c>
      <c r="G22" s="62">
        <v>2.9595358132518901E-2</v>
      </c>
      <c r="H22" s="74">
        <v>8.5450747255941595E-2</v>
      </c>
      <c r="I22" s="74">
        <v>3.8774226437197301E-2</v>
      </c>
      <c r="J22" s="67">
        <f t="shared" si="1"/>
        <v>6.8369584569716202E-2</v>
      </c>
      <c r="K22" s="63">
        <f t="shared" si="0"/>
        <v>0.1587919086248161</v>
      </c>
    </row>
    <row r="23" spans="2:11">
      <c r="B23" s="5" t="s">
        <v>23</v>
      </c>
      <c r="C23" s="3" t="s">
        <v>24</v>
      </c>
      <c r="D23" s="3" t="s">
        <v>28</v>
      </c>
      <c r="E23" s="3">
        <v>18</v>
      </c>
      <c r="F23" s="62">
        <v>6.8444470324676598E-2</v>
      </c>
      <c r="G23" s="62">
        <v>2.62769357732862E-2</v>
      </c>
      <c r="H23" s="74">
        <v>8.3809043194920496E-2</v>
      </c>
      <c r="I23" s="74">
        <v>3.9036594395247003E-2</v>
      </c>
      <c r="J23" s="67">
        <f t="shared" si="1"/>
        <v>6.5313530168533196E-2</v>
      </c>
      <c r="K23" s="63">
        <f t="shared" si="0"/>
        <v>0.15225351351959709</v>
      </c>
    </row>
    <row r="24" spans="2:11">
      <c r="B24" s="5" t="s">
        <v>23</v>
      </c>
      <c r="C24" s="3" t="s">
        <v>24</v>
      </c>
      <c r="D24" s="3" t="s">
        <v>29</v>
      </c>
      <c r="E24" s="3">
        <v>19</v>
      </c>
      <c r="F24" s="62">
        <v>7.2017965902697406E-2</v>
      </c>
      <c r="G24" s="62">
        <v>2.73748860476257E-2</v>
      </c>
      <c r="H24" s="74">
        <v>7.9189159168599504E-2</v>
      </c>
      <c r="I24" s="74">
        <v>3.2090395360771497E-2</v>
      </c>
      <c r="J24" s="67">
        <f t="shared" si="1"/>
        <v>5.94652814083972E-2</v>
      </c>
      <c r="K24" s="63">
        <f t="shared" si="0"/>
        <v>0.15120712507129691</v>
      </c>
    </row>
    <row r="25" spans="2:11">
      <c r="B25" s="5" t="s">
        <v>23</v>
      </c>
      <c r="C25" s="3" t="s">
        <v>24</v>
      </c>
      <c r="D25" s="3" t="s">
        <v>30</v>
      </c>
      <c r="E25" s="3">
        <v>20</v>
      </c>
      <c r="F25" s="62">
        <v>7.2566151686492802E-2</v>
      </c>
      <c r="G25" s="62">
        <v>2.8983903799160101E-2</v>
      </c>
      <c r="H25" s="74">
        <v>9.4195013702465302E-2</v>
      </c>
      <c r="I25" s="74">
        <v>4.8224497059428502E-2</v>
      </c>
      <c r="J25" s="67">
        <f t="shared" si="1"/>
        <v>7.7208400858588599E-2</v>
      </c>
      <c r="K25" s="63">
        <f t="shared" si="0"/>
        <v>0.1667611653889581</v>
      </c>
    </row>
    <row r="26" spans="2:11">
      <c r="B26" s="5" t="s">
        <v>23</v>
      </c>
      <c r="C26" s="3" t="s">
        <v>24</v>
      </c>
      <c r="D26" s="3" t="s">
        <v>31</v>
      </c>
      <c r="E26" s="3">
        <v>21</v>
      </c>
      <c r="F26" s="62">
        <v>7.3147244866890698E-2</v>
      </c>
      <c r="G26" s="62">
        <v>2.8003633389423899E-2</v>
      </c>
      <c r="H26" s="74">
        <v>8.4608655332125096E-2</v>
      </c>
      <c r="I26" s="74">
        <v>3.8397510251486897E-2</v>
      </c>
      <c r="J26" s="67">
        <f t="shared" si="1"/>
        <v>6.6401143640910792E-2</v>
      </c>
      <c r="K26" s="63">
        <f t="shared" si="0"/>
        <v>0.15775590019901581</v>
      </c>
    </row>
    <row r="27" spans="2:11">
      <c r="B27" s="5" t="s">
        <v>23</v>
      </c>
      <c r="C27" s="3" t="s">
        <v>24</v>
      </c>
      <c r="D27" s="3" t="s">
        <v>32</v>
      </c>
      <c r="E27" s="3">
        <v>22</v>
      </c>
      <c r="F27" s="62">
        <v>7.0807575561265296E-2</v>
      </c>
      <c r="G27" s="62">
        <v>2.8365317143032299E-2</v>
      </c>
      <c r="H27" s="74">
        <v>6.9780284540221393E-2</v>
      </c>
      <c r="I27" s="74">
        <v>2.78523999619304E-2</v>
      </c>
      <c r="J27" s="67">
        <f t="shared" si="1"/>
        <v>5.6217717104962699E-2</v>
      </c>
      <c r="K27" s="63">
        <f t="shared" si="0"/>
        <v>0.14058786010148669</v>
      </c>
    </row>
    <row r="28" spans="2:11">
      <c r="B28" s="5" t="s">
        <v>23</v>
      </c>
      <c r="C28" s="3" t="s">
        <v>24</v>
      </c>
      <c r="D28" s="3" t="s">
        <v>33</v>
      </c>
      <c r="E28" s="3">
        <v>23</v>
      </c>
      <c r="F28" s="62">
        <v>6.3822005182679206E-2</v>
      </c>
      <c r="G28" s="62">
        <v>2.3909814790206901E-2</v>
      </c>
      <c r="H28" s="74">
        <v>6.9999934975049499E-2</v>
      </c>
      <c r="I28" s="74">
        <v>2.8737954543756099E-2</v>
      </c>
      <c r="J28" s="67">
        <f t="shared" si="1"/>
        <v>5.2647769333963E-2</v>
      </c>
      <c r="K28" s="63">
        <f t="shared" si="0"/>
        <v>0.13382194015772869</v>
      </c>
    </row>
    <row r="29" spans="2:11">
      <c r="B29" s="5" t="s">
        <v>23</v>
      </c>
      <c r="C29" s="3" t="s">
        <v>24</v>
      </c>
      <c r="D29" s="3" t="s">
        <v>34</v>
      </c>
      <c r="E29" s="3">
        <v>24</v>
      </c>
      <c r="F29" s="62">
        <v>5.8557616914986003E-2</v>
      </c>
      <c r="G29" s="62">
        <v>2.37843402912714E-2</v>
      </c>
      <c r="H29" s="74">
        <v>7.0435789925992406E-2</v>
      </c>
      <c r="I29" s="74">
        <v>2.8950142155056601E-2</v>
      </c>
      <c r="J29" s="67">
        <f t="shared" si="1"/>
        <v>5.2734482446328002E-2</v>
      </c>
      <c r="K29" s="63">
        <f t="shared" si="0"/>
        <v>0.1289934068409784</v>
      </c>
    </row>
    <row r="30" spans="2:11">
      <c r="B30" s="5" t="s">
        <v>23</v>
      </c>
      <c r="C30" s="3" t="s">
        <v>24</v>
      </c>
      <c r="D30" s="3" t="s">
        <v>35</v>
      </c>
      <c r="E30" s="3">
        <v>25</v>
      </c>
      <c r="F30" s="62">
        <v>7.5331555771797495E-2</v>
      </c>
      <c r="G30" s="62">
        <v>3.0861295654443802E-2</v>
      </c>
      <c r="H30" s="74">
        <v>8.5337223029737702E-2</v>
      </c>
      <c r="I30" s="74">
        <v>3.8649913039589499E-2</v>
      </c>
      <c r="J30" s="67">
        <f t="shared" si="1"/>
        <v>6.9511208694033294E-2</v>
      </c>
      <c r="K30" s="63">
        <f t="shared" si="0"/>
        <v>0.16066877880153518</v>
      </c>
    </row>
    <row r="31" spans="2:11">
      <c r="B31" s="5" t="s">
        <v>23</v>
      </c>
      <c r="C31" s="3" t="s">
        <v>36</v>
      </c>
      <c r="D31" s="3" t="s">
        <v>37</v>
      </c>
      <c r="E31" s="3">
        <v>26</v>
      </c>
      <c r="F31" s="62">
        <v>8.1781239694074498E-2</v>
      </c>
      <c r="G31" s="62">
        <v>3.89269384314814E-2</v>
      </c>
      <c r="H31" s="74">
        <v>0.17642795899125599</v>
      </c>
      <c r="I31" s="74">
        <v>0.13911793613439299</v>
      </c>
      <c r="J31" s="67">
        <f t="shared" si="1"/>
        <v>0.17804487456587439</v>
      </c>
      <c r="K31" s="63">
        <f t="shared" si="0"/>
        <v>0.25820919868533049</v>
      </c>
    </row>
    <row r="32" spans="2:11">
      <c r="B32" s="5" t="s">
        <v>23</v>
      </c>
      <c r="C32" s="3" t="s">
        <v>36</v>
      </c>
      <c r="D32" s="3" t="s">
        <v>36</v>
      </c>
      <c r="E32" s="3">
        <v>27</v>
      </c>
      <c r="F32" s="62">
        <v>7.9893859604767997E-2</v>
      </c>
      <c r="G32" s="62">
        <v>3.6123791963839198E-2</v>
      </c>
      <c r="H32" s="74">
        <v>0.203452157819309</v>
      </c>
      <c r="I32" s="74">
        <v>0.166105023985085</v>
      </c>
      <c r="J32" s="67">
        <f t="shared" si="1"/>
        <v>0.2022288159489242</v>
      </c>
      <c r="K32" s="63">
        <f t="shared" si="0"/>
        <v>0.283346017424077</v>
      </c>
    </row>
    <row r="33" spans="2:11">
      <c r="B33" s="5" t="s">
        <v>23</v>
      </c>
      <c r="C33" s="3" t="s">
        <v>36</v>
      </c>
      <c r="D33" s="3" t="s">
        <v>38</v>
      </c>
      <c r="E33" s="3">
        <v>28</v>
      </c>
      <c r="F33" s="62">
        <v>6.7928086609643598E-2</v>
      </c>
      <c r="G33" s="62">
        <v>2.9217369337190501E-2</v>
      </c>
      <c r="H33" s="74">
        <v>0.20002734138993</v>
      </c>
      <c r="I33" s="74">
        <v>0.168863732414612</v>
      </c>
      <c r="J33" s="67">
        <f t="shared" si="1"/>
        <v>0.19808110175180249</v>
      </c>
      <c r="K33" s="63">
        <f t="shared" si="0"/>
        <v>0.26795542799957361</v>
      </c>
    </row>
    <row r="34" spans="2:11">
      <c r="B34" s="5" t="s">
        <v>23</v>
      </c>
      <c r="C34" s="3" t="s">
        <v>36</v>
      </c>
      <c r="D34" s="3" t="s">
        <v>39</v>
      </c>
      <c r="E34" s="3">
        <v>29</v>
      </c>
      <c r="F34" s="62">
        <v>7.7555448015719897E-2</v>
      </c>
      <c r="G34" s="62">
        <v>3.4419847794395601E-2</v>
      </c>
      <c r="H34" s="74">
        <v>0.178963217633199</v>
      </c>
      <c r="I34" s="74">
        <v>0.146841188546812</v>
      </c>
      <c r="J34" s="67">
        <f t="shared" si="1"/>
        <v>0.1812610363412076</v>
      </c>
      <c r="K34" s="63">
        <f t="shared" si="0"/>
        <v>0.2565186656489189</v>
      </c>
    </row>
    <row r="35" spans="2:11">
      <c r="B35" s="68" t="s">
        <v>40</v>
      </c>
      <c r="C35" s="61" t="s">
        <v>41</v>
      </c>
      <c r="D35" s="61" t="s">
        <v>42</v>
      </c>
      <c r="E35" s="61">
        <v>30</v>
      </c>
      <c r="F35" s="62">
        <v>4.28340242573685E-2</v>
      </c>
      <c r="G35" s="62">
        <v>2.48377737398035E-2</v>
      </c>
      <c r="H35" s="74">
        <v>5.1127746900269999E-2</v>
      </c>
      <c r="I35" s="74">
        <v>2.03243916236137E-2</v>
      </c>
      <c r="J35" s="67">
        <f t="shared" si="1"/>
        <v>4.5162165363417203E-2</v>
      </c>
      <c r="K35" s="63">
        <f t="shared" si="0"/>
        <v>9.3961771157638499E-2</v>
      </c>
    </row>
    <row r="36" spans="2:11">
      <c r="B36" s="68" t="s">
        <v>40</v>
      </c>
      <c r="C36" s="61" t="s">
        <v>41</v>
      </c>
      <c r="D36" s="61" t="s">
        <v>43</v>
      </c>
      <c r="E36" s="61">
        <v>31</v>
      </c>
      <c r="F36" s="62">
        <v>4.8377322288531803E-2</v>
      </c>
      <c r="G36" s="62">
        <v>2.5560533463819899E-2</v>
      </c>
      <c r="H36" s="74">
        <v>5.3041522807981502E-2</v>
      </c>
      <c r="I36" s="74">
        <v>1.9970364863311298E-2</v>
      </c>
      <c r="J36" s="67">
        <f t="shared" si="1"/>
        <v>4.5530898327131197E-2</v>
      </c>
      <c r="K36" s="63">
        <f t="shared" si="0"/>
        <v>0.1014188450965133</v>
      </c>
    </row>
    <row r="37" spans="2:11">
      <c r="B37" s="68" t="s">
        <v>40</v>
      </c>
      <c r="C37" s="61" t="s">
        <v>41</v>
      </c>
      <c r="D37" s="61" t="s">
        <v>44</v>
      </c>
      <c r="E37" s="61">
        <v>32</v>
      </c>
      <c r="F37" s="62">
        <v>4.4404763475009199E-2</v>
      </c>
      <c r="G37" s="62">
        <v>2.3490310970675402E-2</v>
      </c>
      <c r="H37" s="74">
        <v>5.1735721653692897E-2</v>
      </c>
      <c r="I37" s="74">
        <v>2.28216104762493E-2</v>
      </c>
      <c r="J37" s="67">
        <f t="shared" si="1"/>
        <v>4.6311921446924698E-2</v>
      </c>
      <c r="K37" s="63">
        <f t="shared" si="0"/>
        <v>9.6140485128702102E-2</v>
      </c>
    </row>
    <row r="38" spans="2:11">
      <c r="B38" s="68" t="s">
        <v>40</v>
      </c>
      <c r="C38" s="61" t="s">
        <v>41</v>
      </c>
      <c r="D38" s="61" t="s">
        <v>45</v>
      </c>
      <c r="E38" s="61">
        <v>33</v>
      </c>
      <c r="F38" s="62">
        <v>5.0669319950485098E-2</v>
      </c>
      <c r="G38" s="62">
        <v>2.8578680258813299E-2</v>
      </c>
      <c r="H38" s="74">
        <v>4.8517343840943403E-2</v>
      </c>
      <c r="I38" s="74">
        <v>1.59209642543582E-2</v>
      </c>
      <c r="J38" s="67">
        <f t="shared" si="1"/>
        <v>4.4499644513171496E-2</v>
      </c>
      <c r="K38" s="63">
        <f t="shared" ref="K38:K69" si="2">F38+H38</f>
        <v>9.91866637914285E-2</v>
      </c>
    </row>
    <row r="39" spans="2:11">
      <c r="B39" s="68" t="s">
        <v>40</v>
      </c>
      <c r="C39" s="61" t="s">
        <v>41</v>
      </c>
      <c r="D39" s="61" t="s">
        <v>46</v>
      </c>
      <c r="E39" s="61">
        <v>34</v>
      </c>
      <c r="F39" s="62">
        <v>4.9678858341482501E-2</v>
      </c>
      <c r="G39" s="62">
        <v>2.7029494270988101E-2</v>
      </c>
      <c r="H39" s="74">
        <v>6.6477604185948197E-2</v>
      </c>
      <c r="I39" s="74">
        <v>2.5412711614733598E-2</v>
      </c>
      <c r="J39" s="67">
        <f t="shared" si="1"/>
        <v>5.2442205885721696E-2</v>
      </c>
      <c r="K39" s="63">
        <f t="shared" si="2"/>
        <v>0.1161564625274307</v>
      </c>
    </row>
    <row r="40" spans="2:11">
      <c r="B40" s="68" t="s">
        <v>40</v>
      </c>
      <c r="C40" s="61" t="s">
        <v>41</v>
      </c>
      <c r="D40" s="61" t="s">
        <v>47</v>
      </c>
      <c r="E40" s="61">
        <v>35</v>
      </c>
      <c r="F40" s="62">
        <v>5.23498748401185E-2</v>
      </c>
      <c r="G40" s="62">
        <v>3.2267666222141E-2</v>
      </c>
      <c r="H40" s="74">
        <v>5.6979339300716497E-2</v>
      </c>
      <c r="I40" s="74">
        <v>2.5783982410178301E-2</v>
      </c>
      <c r="J40" s="67">
        <f t="shared" si="1"/>
        <v>5.8051648632319305E-2</v>
      </c>
      <c r="K40" s="63">
        <f t="shared" si="2"/>
        <v>0.10932921414083499</v>
      </c>
    </row>
    <row r="41" spans="2:11">
      <c r="B41" s="5" t="s">
        <v>23</v>
      </c>
      <c r="C41" s="3" t="s">
        <v>48</v>
      </c>
      <c r="D41" s="3" t="s">
        <v>49</v>
      </c>
      <c r="E41" s="3">
        <v>36</v>
      </c>
      <c r="F41" s="62">
        <v>8.9746126003192594E-2</v>
      </c>
      <c r="G41" s="62">
        <v>5.1182669922902199E-2</v>
      </c>
      <c r="H41" s="74">
        <v>7.6619477877644296E-2</v>
      </c>
      <c r="I41" s="74">
        <v>2.9699060697367299E-2</v>
      </c>
      <c r="J41" s="67">
        <f t="shared" si="1"/>
        <v>8.0881730620269501E-2</v>
      </c>
      <c r="K41" s="63">
        <f t="shared" si="2"/>
        <v>0.16636560388083688</v>
      </c>
    </row>
    <row r="42" spans="2:11">
      <c r="B42" s="5" t="s">
        <v>23</v>
      </c>
      <c r="C42" s="3" t="s">
        <v>48</v>
      </c>
      <c r="D42" s="3" t="s">
        <v>50</v>
      </c>
      <c r="E42" s="3">
        <v>37</v>
      </c>
      <c r="F42" s="62">
        <v>7.9414646644737893E-2</v>
      </c>
      <c r="G42" s="62">
        <v>4.2538434702835998E-2</v>
      </c>
      <c r="H42" s="74">
        <v>6.0320577590837199E-2</v>
      </c>
      <c r="I42" s="74">
        <v>1.78424933626645E-2</v>
      </c>
      <c r="J42" s="67">
        <f t="shared" si="1"/>
        <v>6.0380928065500494E-2</v>
      </c>
      <c r="K42" s="63">
        <f t="shared" si="2"/>
        <v>0.13973522423557511</v>
      </c>
    </row>
    <row r="43" spans="2:11">
      <c r="B43" s="5" t="s">
        <v>23</v>
      </c>
      <c r="C43" s="3" t="s">
        <v>48</v>
      </c>
      <c r="D43" s="3" t="s">
        <v>51</v>
      </c>
      <c r="E43" s="3">
        <v>38</v>
      </c>
      <c r="F43" s="62">
        <v>0.117666178712271</v>
      </c>
      <c r="G43" s="62">
        <v>7.7331239231825194E-2</v>
      </c>
      <c r="H43" s="74">
        <v>0.102361993496774</v>
      </c>
      <c r="I43" s="74">
        <v>5.2876850652572603E-2</v>
      </c>
      <c r="J43" s="67">
        <f t="shared" si="1"/>
        <v>0.1302080898843978</v>
      </c>
      <c r="K43" s="63">
        <f t="shared" si="2"/>
        <v>0.220028172209045</v>
      </c>
    </row>
    <row r="44" spans="2:11">
      <c r="B44" s="5" t="s">
        <v>23</v>
      </c>
      <c r="C44" s="3" t="s">
        <v>48</v>
      </c>
      <c r="D44" s="3" t="s">
        <v>54</v>
      </c>
      <c r="E44" s="3">
        <v>39</v>
      </c>
      <c r="F44" s="62">
        <v>9.7024293565923694E-2</v>
      </c>
      <c r="G44" s="62">
        <v>5.8325488526731098E-2</v>
      </c>
      <c r="H44" s="74">
        <v>8.0152340486598403E-2</v>
      </c>
      <c r="I44" s="74">
        <v>3.2015041250694799E-2</v>
      </c>
      <c r="J44" s="67">
        <f t="shared" si="1"/>
        <v>9.0340529777425904E-2</v>
      </c>
      <c r="K44" s="63">
        <f t="shared" si="2"/>
        <v>0.1771766340525221</v>
      </c>
    </row>
    <row r="45" spans="2:11">
      <c r="B45" s="5" t="s">
        <v>23</v>
      </c>
      <c r="C45" s="3" t="s">
        <v>48</v>
      </c>
      <c r="D45" s="3" t="s">
        <v>55</v>
      </c>
      <c r="E45" s="3">
        <v>40</v>
      </c>
      <c r="F45" s="62">
        <v>0.103380052148283</v>
      </c>
      <c r="G45" s="62">
        <v>6.3320456489202301E-2</v>
      </c>
      <c r="H45" s="74">
        <v>9.6601349507227693E-2</v>
      </c>
      <c r="I45" s="74">
        <v>4.7470517005162402E-2</v>
      </c>
      <c r="J45" s="67">
        <f t="shared" si="1"/>
        <v>0.1107909734943647</v>
      </c>
      <c r="K45" s="63">
        <f t="shared" si="2"/>
        <v>0.1999814016555107</v>
      </c>
    </row>
    <row r="46" spans="2:11">
      <c r="B46" s="5" t="s">
        <v>23</v>
      </c>
      <c r="C46" s="3" t="s">
        <v>48</v>
      </c>
      <c r="D46" s="3" t="s">
        <v>58</v>
      </c>
      <c r="E46" s="3">
        <v>41</v>
      </c>
      <c r="F46" s="62">
        <v>0.100744356953928</v>
      </c>
      <c r="G46" s="62">
        <v>6.0734357330645999E-2</v>
      </c>
      <c r="H46" s="74">
        <v>0.105689739627816</v>
      </c>
      <c r="I46" s="74">
        <v>5.6950504249493099E-2</v>
      </c>
      <c r="J46" s="67">
        <f t="shared" si="1"/>
        <v>0.11768486158013911</v>
      </c>
      <c r="K46" s="63">
        <f t="shared" si="2"/>
        <v>0.206434096581744</v>
      </c>
    </row>
    <row r="47" spans="2:11">
      <c r="B47" s="5" t="s">
        <v>23</v>
      </c>
      <c r="C47" s="3" t="s">
        <v>48</v>
      </c>
      <c r="D47" s="3" t="s">
        <v>59</v>
      </c>
      <c r="E47" s="3">
        <v>42</v>
      </c>
      <c r="F47" s="62">
        <v>0.110713941791125</v>
      </c>
      <c r="G47" s="62">
        <v>7.1943529192921796E-2</v>
      </c>
      <c r="H47" s="74">
        <v>9.5425343682734795E-2</v>
      </c>
      <c r="I47" s="74">
        <v>4.6436717187099602E-2</v>
      </c>
      <c r="J47" s="67">
        <f t="shared" si="1"/>
        <v>0.1183802463800214</v>
      </c>
      <c r="K47" s="63">
        <f t="shared" si="2"/>
        <v>0.20613928547385979</v>
      </c>
    </row>
    <row r="48" spans="2:11">
      <c r="B48" s="5" t="s">
        <v>23</v>
      </c>
      <c r="C48" s="3" t="s">
        <v>48</v>
      </c>
      <c r="D48" s="3" t="s">
        <v>60</v>
      </c>
      <c r="E48" s="3">
        <v>43</v>
      </c>
      <c r="F48" s="62">
        <v>9.3329100325543396E-2</v>
      </c>
      <c r="G48" s="62">
        <v>5.6221439383095699E-2</v>
      </c>
      <c r="H48" s="74">
        <v>6.8191327836761503E-2</v>
      </c>
      <c r="I48" s="74">
        <v>2.4936685203602801E-2</v>
      </c>
      <c r="J48" s="67">
        <f t="shared" si="1"/>
        <v>8.1158124586698493E-2</v>
      </c>
      <c r="K48" s="63">
        <f t="shared" si="2"/>
        <v>0.16152042816230489</v>
      </c>
    </row>
    <row r="49" spans="2:11">
      <c r="B49" s="5" t="s">
        <v>23</v>
      </c>
      <c r="C49" s="3" t="s">
        <v>48</v>
      </c>
      <c r="D49" s="3" t="s">
        <v>62</v>
      </c>
      <c r="E49" s="3">
        <v>44</v>
      </c>
      <c r="F49" s="62">
        <v>8.6499747132712995E-2</v>
      </c>
      <c r="G49" s="62">
        <v>5.0699558716831003E-2</v>
      </c>
      <c r="H49" s="74">
        <v>7.6457703166941698E-2</v>
      </c>
      <c r="I49" s="74">
        <v>3.0562629021849402E-2</v>
      </c>
      <c r="J49" s="67">
        <f t="shared" si="1"/>
        <v>8.1262187738680408E-2</v>
      </c>
      <c r="K49" s="63">
        <f t="shared" si="2"/>
        <v>0.16295745029965469</v>
      </c>
    </row>
    <row r="50" spans="2:11">
      <c r="B50" s="5" t="s">
        <v>23</v>
      </c>
      <c r="C50" s="3" t="s">
        <v>48</v>
      </c>
      <c r="D50" s="3" t="s">
        <v>63</v>
      </c>
      <c r="E50" s="3">
        <v>45</v>
      </c>
      <c r="F50" s="62">
        <v>0.10225361160511701</v>
      </c>
      <c r="G50" s="62">
        <v>6.0452216693608202E-2</v>
      </c>
      <c r="H50" s="74">
        <v>9.5361805946564598E-2</v>
      </c>
      <c r="I50" s="74">
        <v>4.6569685597412397E-2</v>
      </c>
      <c r="J50" s="67">
        <f t="shared" si="1"/>
        <v>0.1070219022910206</v>
      </c>
      <c r="K50" s="63">
        <f t="shared" si="2"/>
        <v>0.1976154175516816</v>
      </c>
    </row>
    <row r="51" spans="2:11">
      <c r="B51" s="5" t="s">
        <v>23</v>
      </c>
      <c r="C51" s="3" t="s">
        <v>48</v>
      </c>
      <c r="D51" s="3" t="s">
        <v>64</v>
      </c>
      <c r="E51" s="3">
        <v>46</v>
      </c>
      <c r="F51" s="62">
        <v>9.7018650124677502E-2</v>
      </c>
      <c r="G51" s="62">
        <v>5.9361299604818001E-2</v>
      </c>
      <c r="H51" s="74">
        <v>7.0813507943630005E-2</v>
      </c>
      <c r="I51" s="74">
        <v>2.4232754384808201E-2</v>
      </c>
      <c r="J51" s="67">
        <f t="shared" si="1"/>
        <v>8.3594053989626202E-2</v>
      </c>
      <c r="K51" s="63">
        <f t="shared" si="2"/>
        <v>0.16783215806830751</v>
      </c>
    </row>
    <row r="52" spans="2:11">
      <c r="B52" s="5" t="s">
        <v>23</v>
      </c>
      <c r="C52" s="3" t="s">
        <v>48</v>
      </c>
      <c r="D52" s="3" t="s">
        <v>65</v>
      </c>
      <c r="E52" s="3">
        <v>47</v>
      </c>
      <c r="F52" s="62">
        <v>8.6676916344638297E-2</v>
      </c>
      <c r="G52" s="62">
        <v>4.7519456245418597E-2</v>
      </c>
      <c r="H52" s="74">
        <v>7.5691557445850294E-2</v>
      </c>
      <c r="I52" s="74">
        <v>2.87555231333269E-2</v>
      </c>
      <c r="J52" s="67">
        <f t="shared" si="1"/>
        <v>7.62749793787455E-2</v>
      </c>
      <c r="K52" s="63">
        <f t="shared" si="2"/>
        <v>0.16236847379048858</v>
      </c>
    </row>
    <row r="53" spans="2:11">
      <c r="B53" s="5" t="s">
        <v>23</v>
      </c>
      <c r="C53" s="3" t="s">
        <v>48</v>
      </c>
      <c r="D53" s="3" t="s">
        <v>67</v>
      </c>
      <c r="E53" s="3">
        <v>48</v>
      </c>
      <c r="F53" s="62">
        <v>8.5149991617258294E-2</v>
      </c>
      <c r="G53" s="62">
        <v>5.2872007334766602E-2</v>
      </c>
      <c r="H53" s="74">
        <v>8.15876123822116E-2</v>
      </c>
      <c r="I53" s="74">
        <v>3.4839237513883702E-2</v>
      </c>
      <c r="J53" s="67">
        <f t="shared" si="1"/>
        <v>8.771124484865031E-2</v>
      </c>
      <c r="K53" s="63">
        <f t="shared" si="2"/>
        <v>0.16673760399946991</v>
      </c>
    </row>
    <row r="54" spans="2:11">
      <c r="B54" s="5" t="s">
        <v>23</v>
      </c>
      <c r="C54" s="3" t="s">
        <v>48</v>
      </c>
      <c r="D54" s="3" t="s">
        <v>69</v>
      </c>
      <c r="E54" s="3">
        <v>49</v>
      </c>
      <c r="F54" s="62">
        <v>0.10000005662223301</v>
      </c>
      <c r="G54" s="62">
        <v>6.4286743395310694E-2</v>
      </c>
      <c r="H54" s="74">
        <v>7.9390024788310601E-2</v>
      </c>
      <c r="I54" s="74">
        <v>3.27255580560099E-2</v>
      </c>
      <c r="J54" s="67">
        <f t="shared" si="1"/>
        <v>9.7012301451320587E-2</v>
      </c>
      <c r="K54" s="63">
        <f t="shared" si="2"/>
        <v>0.17939008141054361</v>
      </c>
    </row>
    <row r="55" spans="2:11">
      <c r="B55" s="5" t="s">
        <v>23</v>
      </c>
      <c r="C55" s="3" t="s">
        <v>48</v>
      </c>
      <c r="D55" s="3" t="s">
        <v>70</v>
      </c>
      <c r="E55" s="3">
        <v>50</v>
      </c>
      <c r="F55" s="62">
        <v>0.11319627286806599</v>
      </c>
      <c r="G55" s="62">
        <v>7.3156595599055504E-2</v>
      </c>
      <c r="H55" s="74">
        <v>9.4328825007335901E-2</v>
      </c>
      <c r="I55" s="74">
        <v>4.6475866922173398E-2</v>
      </c>
      <c r="J55" s="67">
        <f t="shared" si="1"/>
        <v>0.1196324625212289</v>
      </c>
      <c r="K55" s="63">
        <f t="shared" si="2"/>
        <v>0.20752509787540191</v>
      </c>
    </row>
    <row r="56" spans="2:11">
      <c r="B56" s="5" t="s">
        <v>23</v>
      </c>
      <c r="C56" s="3" t="s">
        <v>48</v>
      </c>
      <c r="D56" s="3" t="s">
        <v>71</v>
      </c>
      <c r="E56" s="3">
        <v>51</v>
      </c>
      <c r="F56" s="62">
        <v>8.9547821799052602E-2</v>
      </c>
      <c r="G56" s="62">
        <v>5.2344872602702402E-2</v>
      </c>
      <c r="H56" s="74">
        <v>8.4996536078204205E-2</v>
      </c>
      <c r="I56" s="74">
        <v>3.64462821071369E-2</v>
      </c>
      <c r="J56" s="67">
        <f t="shared" si="1"/>
        <v>8.8791154709839309E-2</v>
      </c>
      <c r="K56" s="63">
        <f t="shared" si="2"/>
        <v>0.17454435787725681</v>
      </c>
    </row>
    <row r="57" spans="2:11">
      <c r="B57" s="5" t="s">
        <v>23</v>
      </c>
      <c r="C57" s="3" t="s">
        <v>48</v>
      </c>
      <c r="D57" s="3" t="s">
        <v>72</v>
      </c>
      <c r="E57" s="3">
        <v>52</v>
      </c>
      <c r="F57" s="62">
        <v>0.11254906706135399</v>
      </c>
      <c r="G57" s="62">
        <v>7.1971316294674598E-2</v>
      </c>
      <c r="H57" s="74">
        <v>9.8070888354369404E-2</v>
      </c>
      <c r="I57" s="74">
        <v>4.8791857390636302E-2</v>
      </c>
      <c r="J57" s="67">
        <f t="shared" si="1"/>
        <v>0.12076317368531089</v>
      </c>
      <c r="K57" s="63">
        <f t="shared" si="2"/>
        <v>0.2106199554157234</v>
      </c>
    </row>
    <row r="58" spans="2:11">
      <c r="B58" s="5" t="s">
        <v>23</v>
      </c>
      <c r="C58" s="3" t="s">
        <v>48</v>
      </c>
      <c r="D58" s="3" t="s">
        <v>73</v>
      </c>
      <c r="E58" s="3">
        <v>53</v>
      </c>
      <c r="F58" s="62">
        <v>8.5044720775038302E-2</v>
      </c>
      <c r="G58" s="62">
        <v>4.8011644435031697E-2</v>
      </c>
      <c r="H58" s="74">
        <v>7.2824833878788103E-2</v>
      </c>
      <c r="I58" s="74">
        <v>2.7569392800877099E-2</v>
      </c>
      <c r="J58" s="67">
        <f t="shared" si="1"/>
        <v>7.5581037235908796E-2</v>
      </c>
      <c r="K58" s="63">
        <f t="shared" si="2"/>
        <v>0.1578695546538264</v>
      </c>
    </row>
    <row r="59" spans="2:11">
      <c r="B59" s="5" t="s">
        <v>40</v>
      </c>
      <c r="C59" s="3" t="s">
        <v>52</v>
      </c>
      <c r="D59" s="3" t="s">
        <v>53</v>
      </c>
      <c r="E59" s="3">
        <v>54</v>
      </c>
      <c r="F59" s="62">
        <v>5.10604952644707E-2</v>
      </c>
      <c r="G59" s="62">
        <v>3.36174328729162E-2</v>
      </c>
      <c r="H59" s="74">
        <v>2.5348197724848E-2</v>
      </c>
      <c r="I59" s="74">
        <v>1.56033954731597E-2</v>
      </c>
      <c r="J59" s="67">
        <f t="shared" si="1"/>
        <v>4.9220828346075898E-2</v>
      </c>
      <c r="K59" s="63">
        <f t="shared" si="2"/>
        <v>7.6408692989318697E-2</v>
      </c>
    </row>
    <row r="60" spans="2:11">
      <c r="B60" s="5" t="s">
        <v>40</v>
      </c>
      <c r="C60" s="3" t="s">
        <v>52</v>
      </c>
      <c r="D60" s="3" t="s">
        <v>56</v>
      </c>
      <c r="E60" s="3">
        <v>55</v>
      </c>
      <c r="F60" s="62">
        <v>6.8427882451050498E-2</v>
      </c>
      <c r="G60" s="62">
        <v>4.60607392352071E-2</v>
      </c>
      <c r="H60" s="74">
        <v>3.1175216566842901E-2</v>
      </c>
      <c r="I60" s="74">
        <v>2.1214645265735899E-2</v>
      </c>
      <c r="J60" s="67">
        <f t="shared" si="1"/>
        <v>6.7275384500943003E-2</v>
      </c>
      <c r="K60" s="63">
        <f t="shared" si="2"/>
        <v>9.9603099017893396E-2</v>
      </c>
    </row>
    <row r="61" spans="2:11">
      <c r="B61" s="5" t="s">
        <v>40</v>
      </c>
      <c r="C61" s="3" t="s">
        <v>52</v>
      </c>
      <c r="D61" s="3" t="s">
        <v>57</v>
      </c>
      <c r="E61" s="3">
        <v>56</v>
      </c>
      <c r="F61" s="62">
        <v>5.8410594072699801E-2</v>
      </c>
      <c r="G61" s="62">
        <v>3.76413030907264E-2</v>
      </c>
      <c r="H61" s="74">
        <v>3.7993590009541001E-2</v>
      </c>
      <c r="I61" s="74">
        <v>2.2212039214367301E-2</v>
      </c>
      <c r="J61" s="67">
        <f t="shared" si="1"/>
        <v>5.9853342305093704E-2</v>
      </c>
      <c r="K61" s="63">
        <f t="shared" si="2"/>
        <v>9.6404184082240801E-2</v>
      </c>
    </row>
    <row r="62" spans="2:11">
      <c r="B62" s="5" t="s">
        <v>40</v>
      </c>
      <c r="C62" s="3" t="s">
        <v>52</v>
      </c>
      <c r="D62" s="3" t="s">
        <v>61</v>
      </c>
      <c r="E62" s="3">
        <v>57</v>
      </c>
      <c r="F62" s="62">
        <v>6.1422340999971001E-2</v>
      </c>
      <c r="G62" s="62">
        <v>4.1654704527155501E-2</v>
      </c>
      <c r="H62" s="74">
        <v>2.76553652569578E-2</v>
      </c>
      <c r="I62" s="74">
        <v>1.8675486236779799E-2</v>
      </c>
      <c r="J62" s="67">
        <f t="shared" si="1"/>
        <v>6.0330190763935296E-2</v>
      </c>
      <c r="K62" s="63">
        <f t="shared" si="2"/>
        <v>8.9077706256928804E-2</v>
      </c>
    </row>
    <row r="63" spans="2:11">
      <c r="B63" s="5" t="s">
        <v>40</v>
      </c>
      <c r="C63" s="3" t="s">
        <v>52</v>
      </c>
      <c r="D63" s="3" t="s">
        <v>66</v>
      </c>
      <c r="E63" s="3">
        <v>58</v>
      </c>
      <c r="F63" s="62">
        <v>6.0283835722502399E-2</v>
      </c>
      <c r="G63" s="62">
        <v>4.0569560627230598E-2</v>
      </c>
      <c r="H63" s="74">
        <v>2.2847453188051502E-2</v>
      </c>
      <c r="I63" s="74">
        <v>1.39209769486827E-2</v>
      </c>
      <c r="J63" s="67">
        <f t="shared" si="1"/>
        <v>5.4490537575913295E-2</v>
      </c>
      <c r="K63" s="63">
        <f t="shared" si="2"/>
        <v>8.3131288910553908E-2</v>
      </c>
    </row>
    <row r="64" spans="2:11">
      <c r="B64" s="5" t="s">
        <v>40</v>
      </c>
      <c r="C64" s="3" t="s">
        <v>52</v>
      </c>
      <c r="D64" s="3" t="s">
        <v>68</v>
      </c>
      <c r="E64" s="3">
        <v>59</v>
      </c>
      <c r="F64" s="62">
        <v>6.8032539740983597E-2</v>
      </c>
      <c r="G64" s="62">
        <v>4.7663951847450099E-2</v>
      </c>
      <c r="H64" s="74">
        <v>2.6777733515316302E-2</v>
      </c>
      <c r="I64" s="74">
        <v>1.7903120786591498E-2</v>
      </c>
      <c r="J64" s="67">
        <f t="shared" si="1"/>
        <v>6.5567072634041601E-2</v>
      </c>
      <c r="K64" s="63">
        <f t="shared" si="2"/>
        <v>9.4810273256299898E-2</v>
      </c>
    </row>
    <row r="65" spans="2:11">
      <c r="B65" s="5" t="s">
        <v>40</v>
      </c>
      <c r="C65" s="3" t="s">
        <v>74</v>
      </c>
      <c r="D65" s="3" t="s">
        <v>75</v>
      </c>
      <c r="E65" s="3">
        <v>60</v>
      </c>
      <c r="F65" s="62">
        <v>9.0204692468596998E-2</v>
      </c>
      <c r="G65" s="62">
        <v>5.6376762621776301E-2</v>
      </c>
      <c r="H65" s="74">
        <v>3.5678846234464802E-2</v>
      </c>
      <c r="I65" s="75">
        <v>1.07905212378555E-2</v>
      </c>
      <c r="J65" s="67">
        <f t="shared" si="1"/>
        <v>6.7167283859631804E-2</v>
      </c>
      <c r="K65" s="63">
        <f t="shared" si="2"/>
        <v>0.12588353870306179</v>
      </c>
    </row>
    <row r="66" spans="2:11">
      <c r="B66" s="5" t="s">
        <v>40</v>
      </c>
      <c r="C66" s="3" t="s">
        <v>74</v>
      </c>
      <c r="D66" s="3" t="s">
        <v>76</v>
      </c>
      <c r="E66" s="3">
        <v>61</v>
      </c>
      <c r="F66" s="62">
        <v>7.3906891608555403E-2</v>
      </c>
      <c r="G66" s="62">
        <v>4.5066407679462198E-2</v>
      </c>
      <c r="H66" s="74">
        <v>7.2320495266129103E-3</v>
      </c>
      <c r="I66" s="74">
        <v>2.83681154081904E-3</v>
      </c>
      <c r="J66" s="67">
        <f t="shared" si="1"/>
        <v>4.7903219220281235E-2</v>
      </c>
      <c r="K66" s="63">
        <f t="shared" si="2"/>
        <v>8.1138941135168313E-2</v>
      </c>
    </row>
    <row r="67" spans="2:11">
      <c r="B67" s="5" t="s">
        <v>40</v>
      </c>
      <c r="C67" s="3" t="s">
        <v>74</v>
      </c>
      <c r="D67" s="3" t="s">
        <v>77</v>
      </c>
      <c r="E67" s="3">
        <v>62</v>
      </c>
      <c r="F67" s="62">
        <v>7.03455750621748E-2</v>
      </c>
      <c r="G67" s="62">
        <v>4.1231446623187E-2</v>
      </c>
      <c r="H67" s="74">
        <v>6.9749555441945303E-3</v>
      </c>
      <c r="I67" s="74">
        <v>2.2591906588473802E-3</v>
      </c>
      <c r="J67" s="67">
        <f t="shared" si="1"/>
        <v>4.3490637282034381E-2</v>
      </c>
      <c r="K67" s="63">
        <f t="shared" si="2"/>
        <v>7.7320530606369328E-2</v>
      </c>
    </row>
    <row r="68" spans="2:11">
      <c r="B68" s="5" t="s">
        <v>40</v>
      </c>
      <c r="C68" s="3" t="s">
        <v>74</v>
      </c>
      <c r="D68" s="3" t="s">
        <v>78</v>
      </c>
      <c r="E68" s="3">
        <v>63</v>
      </c>
      <c r="F68" s="62">
        <v>7.2959052410657699E-2</v>
      </c>
      <c r="G68" s="62">
        <v>4.33807214252293E-2</v>
      </c>
      <c r="H68" s="74">
        <v>9.8603283033180406E-3</v>
      </c>
      <c r="I68" s="74">
        <v>3.2732359471252699E-3</v>
      </c>
      <c r="J68" s="67">
        <f t="shared" si="1"/>
        <v>4.6653957372354574E-2</v>
      </c>
      <c r="K68" s="63">
        <f t="shared" si="2"/>
        <v>8.2819380713975738E-2</v>
      </c>
    </row>
    <row r="69" spans="2:11">
      <c r="B69" s="5" t="s">
        <v>7</v>
      </c>
      <c r="C69" s="3" t="s">
        <v>79</v>
      </c>
      <c r="D69" s="3" t="s">
        <v>80</v>
      </c>
      <c r="E69" s="3">
        <v>64</v>
      </c>
      <c r="F69" s="62">
        <v>9.9773154551883E-2</v>
      </c>
      <c r="G69" s="62">
        <v>5.6397074789474401E-2</v>
      </c>
      <c r="H69" s="74">
        <v>9.0672548473568398E-2</v>
      </c>
      <c r="I69" s="74">
        <v>7.0296111426296506E-2</v>
      </c>
      <c r="J69" s="67">
        <f t="shared" si="1"/>
        <v>0.12669318621577091</v>
      </c>
      <c r="K69" s="63">
        <f t="shared" si="2"/>
        <v>0.19044570302545138</v>
      </c>
    </row>
    <row r="70" spans="2:11">
      <c r="B70" s="5" t="s">
        <v>7</v>
      </c>
      <c r="C70" s="3" t="s">
        <v>79</v>
      </c>
      <c r="D70" s="3" t="s">
        <v>90</v>
      </c>
      <c r="E70" s="3">
        <v>65</v>
      </c>
      <c r="F70" s="62">
        <v>5.5907615498816003E-2</v>
      </c>
      <c r="G70" s="62">
        <v>3.2100306453961301E-2</v>
      </c>
      <c r="H70" s="74">
        <v>7.1726505902382595E-2</v>
      </c>
      <c r="I70" s="74">
        <v>4.7360191882787998E-2</v>
      </c>
      <c r="J70" s="67">
        <f t="shared" si="1"/>
        <v>7.94604983367493E-2</v>
      </c>
      <c r="K70" s="63">
        <f t="shared" ref="K70:K101" si="3">F70+H70</f>
        <v>0.12763412140119859</v>
      </c>
    </row>
    <row r="71" spans="2:11">
      <c r="B71" s="5" t="s">
        <v>7</v>
      </c>
      <c r="C71" s="3" t="s">
        <v>79</v>
      </c>
      <c r="D71" s="3" t="s">
        <v>94</v>
      </c>
      <c r="E71" s="3">
        <v>66</v>
      </c>
      <c r="F71" s="62">
        <v>9.0177763887812096E-2</v>
      </c>
      <c r="G71" s="62">
        <v>5.0908841948495702E-2</v>
      </c>
      <c r="H71" s="74">
        <v>8.5543589956968397E-2</v>
      </c>
      <c r="I71" s="74">
        <v>6.1359772139197702E-2</v>
      </c>
      <c r="J71" s="67">
        <f t="shared" si="1"/>
        <v>0.1122686140876934</v>
      </c>
      <c r="K71" s="63">
        <f t="shared" si="3"/>
        <v>0.17572135384478049</v>
      </c>
    </row>
    <row r="72" spans="2:11">
      <c r="B72" s="5" t="s">
        <v>7</v>
      </c>
      <c r="C72" s="3" t="s">
        <v>79</v>
      </c>
      <c r="D72" s="3" t="s">
        <v>96</v>
      </c>
      <c r="E72" s="3">
        <v>67</v>
      </c>
      <c r="F72" s="62">
        <v>7.5111100527550795E-2</v>
      </c>
      <c r="G72" s="62">
        <v>3.7580950847285001E-2</v>
      </c>
      <c r="H72" s="74">
        <v>7.0191492672763894E-2</v>
      </c>
      <c r="I72" s="74">
        <v>4.9601190501885897E-2</v>
      </c>
      <c r="J72" s="67">
        <f t="shared" ref="J72:J113" si="4">G72+I72</f>
        <v>8.7182141349170905E-2</v>
      </c>
      <c r="K72" s="63">
        <f t="shared" si="3"/>
        <v>0.14530259320031469</v>
      </c>
    </row>
    <row r="73" spans="2:11">
      <c r="B73" s="5" t="s">
        <v>7</v>
      </c>
      <c r="C73" s="3" t="s">
        <v>79</v>
      </c>
      <c r="D73" s="3" t="s">
        <v>97</v>
      </c>
      <c r="E73" s="3">
        <v>68</v>
      </c>
      <c r="F73" s="62">
        <v>6.4814109767594094E-2</v>
      </c>
      <c r="G73" s="62">
        <v>4.0992410727421998E-2</v>
      </c>
      <c r="H73" s="74">
        <v>0.10845745318340901</v>
      </c>
      <c r="I73" s="74">
        <v>8.3040965916379994E-2</v>
      </c>
      <c r="J73" s="67">
        <f t="shared" si="4"/>
        <v>0.12403337664380198</v>
      </c>
      <c r="K73" s="63">
        <f t="shared" si="3"/>
        <v>0.1732715629510031</v>
      </c>
    </row>
    <row r="74" spans="2:11">
      <c r="B74" s="5" t="s">
        <v>7</v>
      </c>
      <c r="C74" s="3" t="s">
        <v>79</v>
      </c>
      <c r="D74" s="3" t="s">
        <v>106</v>
      </c>
      <c r="E74" s="3">
        <v>69</v>
      </c>
      <c r="F74" s="62">
        <v>9.0328366528641194E-2</v>
      </c>
      <c r="G74" s="62">
        <v>5.5093505188747997E-2</v>
      </c>
      <c r="H74" s="74">
        <v>0.113179252606861</v>
      </c>
      <c r="I74" s="74">
        <v>8.9792557969539305E-2</v>
      </c>
      <c r="J74" s="67">
        <f t="shared" si="4"/>
        <v>0.14488606315828731</v>
      </c>
      <c r="K74" s="63">
        <f t="shared" si="3"/>
        <v>0.20350761913550219</v>
      </c>
    </row>
    <row r="75" spans="2:11">
      <c r="B75" s="5" t="s">
        <v>4</v>
      </c>
      <c r="C75" s="3" t="s">
        <v>5</v>
      </c>
      <c r="D75" s="3" t="s">
        <v>6</v>
      </c>
      <c r="E75" s="3">
        <v>70</v>
      </c>
      <c r="F75" s="62">
        <v>7.2530894564380805E-2</v>
      </c>
      <c r="G75" s="62">
        <v>3.2009434751888798E-2</v>
      </c>
      <c r="H75" s="74">
        <v>4.8338873978547699E-2</v>
      </c>
      <c r="I75" s="74">
        <v>2.8292592693637798E-2</v>
      </c>
      <c r="J75" s="67">
        <f t="shared" si="4"/>
        <v>6.0302027445526596E-2</v>
      </c>
      <c r="K75" s="63">
        <f t="shared" si="3"/>
        <v>0.1208697685429285</v>
      </c>
    </row>
    <row r="76" spans="2:11">
      <c r="B76" s="5" t="s">
        <v>4</v>
      </c>
      <c r="C76" s="3" t="s">
        <v>5</v>
      </c>
      <c r="D76" s="3" t="s">
        <v>81</v>
      </c>
      <c r="E76" s="3">
        <v>71</v>
      </c>
      <c r="F76" s="62">
        <v>6.4294951938207598E-2</v>
      </c>
      <c r="G76" s="62">
        <v>2.9161263804322501E-2</v>
      </c>
      <c r="H76" s="74">
        <v>6.4863252019875806E-2</v>
      </c>
      <c r="I76" s="74">
        <v>3.5161933967507199E-2</v>
      </c>
      <c r="J76" s="67">
        <f t="shared" si="4"/>
        <v>6.4323197771829696E-2</v>
      </c>
      <c r="K76" s="63">
        <f t="shared" si="3"/>
        <v>0.12915820395808342</v>
      </c>
    </row>
    <row r="77" spans="2:11">
      <c r="B77" s="5" t="s">
        <v>4</v>
      </c>
      <c r="C77" s="3" t="s">
        <v>5</v>
      </c>
      <c r="D77" s="3" t="s">
        <v>82</v>
      </c>
      <c r="E77" s="3">
        <v>72</v>
      </c>
      <c r="F77" s="62">
        <v>6.4941747107254699E-2</v>
      </c>
      <c r="G77" s="62">
        <v>2.8736880006069401E-2</v>
      </c>
      <c r="H77" s="74">
        <v>6.7089177477363093E-2</v>
      </c>
      <c r="I77" s="74">
        <v>3.6987143785047201E-2</v>
      </c>
      <c r="J77" s="67">
        <f t="shared" si="4"/>
        <v>6.5724023791116609E-2</v>
      </c>
      <c r="K77" s="63">
        <f t="shared" si="3"/>
        <v>0.13203092458461779</v>
      </c>
    </row>
    <row r="78" spans="2:11">
      <c r="B78" s="5" t="s">
        <v>4</v>
      </c>
      <c r="C78" s="3" t="s">
        <v>5</v>
      </c>
      <c r="D78" s="3" t="s">
        <v>83</v>
      </c>
      <c r="E78" s="3">
        <v>73</v>
      </c>
      <c r="F78" s="62">
        <v>6.7149497412221995E-2</v>
      </c>
      <c r="G78" s="62">
        <v>3.1544728496467798E-2</v>
      </c>
      <c r="H78" s="74">
        <v>7.2475218404096306E-2</v>
      </c>
      <c r="I78" s="74">
        <v>3.87191472681193E-2</v>
      </c>
      <c r="J78" s="67">
        <f t="shared" si="4"/>
        <v>7.0263875764587091E-2</v>
      </c>
      <c r="K78" s="63">
        <f t="shared" si="3"/>
        <v>0.1396247158163183</v>
      </c>
    </row>
    <row r="79" spans="2:11">
      <c r="B79" s="5" t="s">
        <v>4</v>
      </c>
      <c r="C79" s="3" t="s">
        <v>5</v>
      </c>
      <c r="D79" s="3" t="s">
        <v>86</v>
      </c>
      <c r="E79" s="3">
        <v>74</v>
      </c>
      <c r="F79" s="62">
        <v>7.1292278108465904E-2</v>
      </c>
      <c r="G79" s="62">
        <v>3.1037317743358502E-2</v>
      </c>
      <c r="H79" s="74">
        <v>6.4471059445232098E-2</v>
      </c>
      <c r="I79" s="74">
        <v>3.4440012781718501E-2</v>
      </c>
      <c r="J79" s="67">
        <f t="shared" si="4"/>
        <v>6.547733052507701E-2</v>
      </c>
      <c r="K79" s="63">
        <f t="shared" si="3"/>
        <v>0.13576333755369802</v>
      </c>
    </row>
    <row r="80" spans="2:11">
      <c r="B80" s="5" t="s">
        <v>4</v>
      </c>
      <c r="C80" s="3" t="s">
        <v>5</v>
      </c>
      <c r="D80" s="3" t="s">
        <v>91</v>
      </c>
      <c r="E80" s="3">
        <v>75</v>
      </c>
      <c r="F80" s="62">
        <v>7.4088864099997695E-2</v>
      </c>
      <c r="G80" s="62">
        <v>3.5346996322592798E-2</v>
      </c>
      <c r="H80" s="74">
        <v>5.6565446551063402E-2</v>
      </c>
      <c r="I80" s="74">
        <v>3.5410646363089902E-2</v>
      </c>
      <c r="J80" s="67">
        <f t="shared" si="4"/>
        <v>7.0757642685682701E-2</v>
      </c>
      <c r="K80" s="63">
        <f t="shared" si="3"/>
        <v>0.13065431065106109</v>
      </c>
    </row>
    <row r="81" spans="2:11">
      <c r="B81" s="5" t="s">
        <v>4</v>
      </c>
      <c r="C81" s="3" t="s">
        <v>5</v>
      </c>
      <c r="D81" s="3" t="s">
        <v>92</v>
      </c>
      <c r="E81" s="3">
        <v>76</v>
      </c>
      <c r="F81" s="62">
        <v>7.47451183100028E-2</v>
      </c>
      <c r="G81" s="62">
        <v>3.4209307860653203E-2</v>
      </c>
      <c r="H81" s="74">
        <v>3.06910736927597E-2</v>
      </c>
      <c r="I81" s="74">
        <v>1.9648003088399899E-2</v>
      </c>
      <c r="J81" s="67">
        <f t="shared" si="4"/>
        <v>5.3857310949053105E-2</v>
      </c>
      <c r="K81" s="63">
        <f t="shared" si="3"/>
        <v>0.1054361920027625</v>
      </c>
    </row>
    <row r="82" spans="2:11">
      <c r="B82" s="5" t="s">
        <v>4</v>
      </c>
      <c r="C82" s="3" t="s">
        <v>5</v>
      </c>
      <c r="D82" s="3" t="s">
        <v>93</v>
      </c>
      <c r="E82" s="3">
        <v>77</v>
      </c>
      <c r="F82" s="62">
        <v>7.4631266612536495E-2</v>
      </c>
      <c r="G82" s="62">
        <v>3.3260002699439697E-2</v>
      </c>
      <c r="H82" s="74">
        <v>4.3390659519743101E-2</v>
      </c>
      <c r="I82" s="74">
        <v>1.9828899417510901E-2</v>
      </c>
      <c r="J82" s="67">
        <f t="shared" si="4"/>
        <v>5.3088902116950595E-2</v>
      </c>
      <c r="K82" s="63">
        <f t="shared" si="3"/>
        <v>0.1180219261322796</v>
      </c>
    </row>
    <row r="83" spans="2:11">
      <c r="B83" s="5" t="s">
        <v>7</v>
      </c>
      <c r="C83" s="3" t="s">
        <v>84</v>
      </c>
      <c r="D83" s="3" t="s">
        <v>85</v>
      </c>
      <c r="E83" s="3">
        <v>78</v>
      </c>
      <c r="F83" s="62">
        <v>8.2987930596917905E-2</v>
      </c>
      <c r="G83" s="62">
        <v>3.2987930596917903E-2</v>
      </c>
      <c r="H83" s="74">
        <v>8.3602609582224902E-2</v>
      </c>
      <c r="I83" s="74">
        <v>4.48369637306281E-2</v>
      </c>
      <c r="J83" s="67">
        <f t="shared" si="4"/>
        <v>7.7824894327545996E-2</v>
      </c>
      <c r="K83" s="63">
        <f t="shared" si="3"/>
        <v>0.16659054017914282</v>
      </c>
    </row>
    <row r="84" spans="2:11">
      <c r="B84" s="5" t="s">
        <v>7</v>
      </c>
      <c r="C84" s="3" t="s">
        <v>84</v>
      </c>
      <c r="D84" s="3" t="s">
        <v>87</v>
      </c>
      <c r="E84" s="3">
        <v>79</v>
      </c>
      <c r="F84" s="62">
        <v>8.6432895494287607E-2</v>
      </c>
      <c r="G84" s="62">
        <v>3.6432895494287597E-2</v>
      </c>
      <c r="H84" s="74">
        <v>7.6065638356889897E-2</v>
      </c>
      <c r="I84" s="74">
        <v>3.7704885125786403E-2</v>
      </c>
      <c r="J84" s="67">
        <f t="shared" si="4"/>
        <v>7.4137780620074006E-2</v>
      </c>
      <c r="K84" s="63">
        <f t="shared" si="3"/>
        <v>0.16249853385117752</v>
      </c>
    </row>
    <row r="85" spans="2:11">
      <c r="B85" s="5" t="s">
        <v>7</v>
      </c>
      <c r="C85" s="3" t="s">
        <v>84</v>
      </c>
      <c r="D85" s="3" t="s">
        <v>88</v>
      </c>
      <c r="E85" s="3">
        <v>80</v>
      </c>
      <c r="F85" s="62">
        <v>0.10727389101344501</v>
      </c>
      <c r="G85" s="62">
        <v>5.72738910134446E-2</v>
      </c>
      <c r="H85" s="74">
        <v>8.5726381093822801E-2</v>
      </c>
      <c r="I85" s="74">
        <v>4.9748809245240902E-2</v>
      </c>
      <c r="J85" s="67">
        <f t="shared" si="4"/>
        <v>0.1070227002586855</v>
      </c>
      <c r="K85" s="63">
        <f t="shared" si="3"/>
        <v>0.19300027210726781</v>
      </c>
    </row>
    <row r="86" spans="2:11">
      <c r="B86" s="5" t="s">
        <v>7</v>
      </c>
      <c r="C86" s="3" t="s">
        <v>84</v>
      </c>
      <c r="D86" s="3" t="s">
        <v>89</v>
      </c>
      <c r="E86" s="3">
        <v>81</v>
      </c>
      <c r="F86" s="62">
        <v>8.3639632545528905E-2</v>
      </c>
      <c r="G86" s="62">
        <v>3.3639632545528902E-2</v>
      </c>
      <c r="H86" s="74">
        <v>7.6278762848098799E-2</v>
      </c>
      <c r="I86" s="74">
        <v>3.8733814818627602E-2</v>
      </c>
      <c r="J86" s="67">
        <f t="shared" si="4"/>
        <v>7.2373447364156504E-2</v>
      </c>
      <c r="K86" s="63">
        <f t="shared" si="3"/>
        <v>0.1599183953936277</v>
      </c>
    </row>
    <row r="87" spans="2:11">
      <c r="B87" s="5" t="s">
        <v>7</v>
      </c>
      <c r="C87" s="3" t="s">
        <v>84</v>
      </c>
      <c r="D87" s="3" t="s">
        <v>95</v>
      </c>
      <c r="E87" s="3">
        <v>82</v>
      </c>
      <c r="F87" s="62">
        <v>8.1531104369691895E-2</v>
      </c>
      <c r="G87" s="62">
        <v>3.1531104369691899E-2</v>
      </c>
      <c r="H87" s="74">
        <v>9.2673751261342599E-2</v>
      </c>
      <c r="I87" s="74">
        <v>5.1723307875422501E-2</v>
      </c>
      <c r="J87" s="67">
        <f t="shared" si="4"/>
        <v>8.3254412245114401E-2</v>
      </c>
      <c r="K87" s="63">
        <f t="shared" si="3"/>
        <v>0.17420485563103449</v>
      </c>
    </row>
    <row r="88" spans="2:11">
      <c r="B88" s="5" t="s">
        <v>7</v>
      </c>
      <c r="C88" s="3" t="s">
        <v>84</v>
      </c>
      <c r="D88" s="3" t="s">
        <v>98</v>
      </c>
      <c r="E88" s="3">
        <v>83</v>
      </c>
      <c r="F88" s="62">
        <v>8.6298679753520402E-2</v>
      </c>
      <c r="G88" s="62">
        <v>3.6298679753520399E-2</v>
      </c>
      <c r="H88" s="74">
        <v>9.8136018334306005E-2</v>
      </c>
      <c r="I88" s="74">
        <v>5.4050948877308297E-2</v>
      </c>
      <c r="J88" s="67">
        <f t="shared" si="4"/>
        <v>9.0349628630828696E-2</v>
      </c>
      <c r="K88" s="63">
        <f t="shared" si="3"/>
        <v>0.18443469808782642</v>
      </c>
    </row>
    <row r="89" spans="2:11">
      <c r="B89" s="5" t="s">
        <v>7</v>
      </c>
      <c r="C89" s="3" t="s">
        <v>84</v>
      </c>
      <c r="D89" s="3" t="s">
        <v>99</v>
      </c>
      <c r="E89" s="3">
        <v>84</v>
      </c>
      <c r="F89" s="62">
        <v>8.3674977814775106E-2</v>
      </c>
      <c r="G89" s="62">
        <v>3.3674977814775103E-2</v>
      </c>
      <c r="H89" s="74">
        <v>8.9290412994189605E-2</v>
      </c>
      <c r="I89" s="74">
        <v>4.7425314333050798E-2</v>
      </c>
      <c r="J89" s="67">
        <f t="shared" si="4"/>
        <v>8.1100292147825909E-2</v>
      </c>
      <c r="K89" s="63">
        <f t="shared" si="3"/>
        <v>0.17296539080896473</v>
      </c>
    </row>
    <row r="90" spans="2:11">
      <c r="B90" s="5" t="s">
        <v>7</v>
      </c>
      <c r="C90" s="3" t="s">
        <v>84</v>
      </c>
      <c r="D90" s="3" t="s">
        <v>100</v>
      </c>
      <c r="E90" s="3">
        <v>85</v>
      </c>
      <c r="F90" s="62">
        <v>8.5686832638460594E-2</v>
      </c>
      <c r="G90" s="62">
        <v>3.5686832638460599E-2</v>
      </c>
      <c r="H90" s="74">
        <v>9.0164073085601606E-2</v>
      </c>
      <c r="I90" s="74">
        <v>4.7544972367744999E-2</v>
      </c>
      <c r="J90" s="67">
        <f t="shared" si="4"/>
        <v>8.3231805006205598E-2</v>
      </c>
      <c r="K90" s="63">
        <f t="shared" si="3"/>
        <v>0.1758509057240622</v>
      </c>
    </row>
    <row r="91" spans="2:11">
      <c r="B91" s="5" t="s">
        <v>7</v>
      </c>
      <c r="C91" s="3" t="s">
        <v>84</v>
      </c>
      <c r="D91" s="3" t="s">
        <v>101</v>
      </c>
      <c r="E91" s="3">
        <v>86</v>
      </c>
      <c r="F91" s="62">
        <v>0.15890671878523799</v>
      </c>
      <c r="G91" s="62">
        <v>0.108906718785237</v>
      </c>
      <c r="H91" s="74">
        <v>8.0075235251025403E-2</v>
      </c>
      <c r="I91" s="74">
        <v>4.73649377983811E-2</v>
      </c>
      <c r="J91" s="67">
        <f t="shared" si="4"/>
        <v>0.15627165658361811</v>
      </c>
      <c r="K91" s="63">
        <f t="shared" si="3"/>
        <v>0.23898195403626338</v>
      </c>
    </row>
    <row r="92" spans="2:11">
      <c r="B92" s="5" t="s">
        <v>7</v>
      </c>
      <c r="C92" s="3" t="s">
        <v>84</v>
      </c>
      <c r="D92" s="3" t="s">
        <v>102</v>
      </c>
      <c r="E92" s="3">
        <v>87</v>
      </c>
      <c r="F92" s="62">
        <v>7.9020527490336501E-2</v>
      </c>
      <c r="G92" s="62">
        <v>2.9020527490336501E-2</v>
      </c>
      <c r="H92" s="74">
        <v>8.2088239124381499E-2</v>
      </c>
      <c r="I92" s="74">
        <v>4.4363322212832498E-2</v>
      </c>
      <c r="J92" s="67">
        <f t="shared" si="4"/>
        <v>7.3383849703168996E-2</v>
      </c>
      <c r="K92" s="63">
        <f t="shared" si="3"/>
        <v>0.16110876661471801</v>
      </c>
    </row>
    <row r="93" spans="2:11">
      <c r="B93" s="5" t="s">
        <v>7</v>
      </c>
      <c r="C93" s="3" t="s">
        <v>84</v>
      </c>
      <c r="D93" s="3" t="s">
        <v>103</v>
      </c>
      <c r="E93" s="3">
        <v>88</v>
      </c>
      <c r="F93" s="62">
        <v>8.6478696832009996E-2</v>
      </c>
      <c r="G93" s="62">
        <v>3.6478696832010001E-2</v>
      </c>
      <c r="H93" s="74">
        <v>0.10573370599022699</v>
      </c>
      <c r="I93" s="74">
        <v>6.2356740880807802E-2</v>
      </c>
      <c r="J93" s="67">
        <f t="shared" si="4"/>
        <v>9.8835437712817803E-2</v>
      </c>
      <c r="K93" s="63">
        <f t="shared" si="3"/>
        <v>0.19221240282223701</v>
      </c>
    </row>
    <row r="94" spans="2:11">
      <c r="B94" s="5" t="s">
        <v>7</v>
      </c>
      <c r="C94" s="3" t="s">
        <v>84</v>
      </c>
      <c r="D94" s="3" t="s">
        <v>104</v>
      </c>
      <c r="E94" s="3">
        <v>89</v>
      </c>
      <c r="F94" s="62">
        <v>8.4424417260416607E-2</v>
      </c>
      <c r="G94" s="62">
        <v>3.4424417260416701E-2</v>
      </c>
      <c r="H94" s="74">
        <v>8.2167308701485794E-2</v>
      </c>
      <c r="I94" s="74">
        <v>4.3817790710887802E-2</v>
      </c>
      <c r="J94" s="67">
        <f t="shared" si="4"/>
        <v>7.8242207971304503E-2</v>
      </c>
      <c r="K94" s="63">
        <f t="shared" si="3"/>
        <v>0.16659172596190241</v>
      </c>
    </row>
    <row r="95" spans="2:11">
      <c r="B95" s="5" t="s">
        <v>7</v>
      </c>
      <c r="C95" s="3" t="s">
        <v>84</v>
      </c>
      <c r="D95" s="3" t="s">
        <v>105</v>
      </c>
      <c r="E95" s="3">
        <v>90</v>
      </c>
      <c r="F95" s="62">
        <v>8.0039942766782002E-2</v>
      </c>
      <c r="G95" s="62">
        <v>3.0039942766781999E-2</v>
      </c>
      <c r="H95" s="74">
        <v>8.3680851215498994E-2</v>
      </c>
      <c r="I95" s="74">
        <v>4.2271241773422702E-2</v>
      </c>
      <c r="J95" s="67">
        <f t="shared" si="4"/>
        <v>7.2311184540204701E-2</v>
      </c>
      <c r="K95" s="63">
        <f t="shared" si="3"/>
        <v>0.16372079398228101</v>
      </c>
    </row>
    <row r="96" spans="2:11">
      <c r="B96" s="5" t="s">
        <v>7</v>
      </c>
      <c r="C96" s="3" t="s">
        <v>84</v>
      </c>
      <c r="D96" s="3" t="s">
        <v>107</v>
      </c>
      <c r="E96" s="3">
        <v>91</v>
      </c>
      <c r="F96" s="62">
        <v>8.2221052649431303E-2</v>
      </c>
      <c r="G96" s="62">
        <v>3.2221052649431203E-2</v>
      </c>
      <c r="H96" s="74">
        <v>8.7506562317414799E-2</v>
      </c>
      <c r="I96" s="74">
        <v>4.8249540063906103E-2</v>
      </c>
      <c r="J96" s="67">
        <f t="shared" si="4"/>
        <v>8.0470592713337313E-2</v>
      </c>
      <c r="K96" s="63">
        <f t="shared" si="3"/>
        <v>0.1697276149668461</v>
      </c>
    </row>
    <row r="97" spans="2:11">
      <c r="B97" s="5" t="s">
        <v>7</v>
      </c>
      <c r="C97" s="3" t="s">
        <v>84</v>
      </c>
      <c r="D97" s="3" t="s">
        <v>108</v>
      </c>
      <c r="E97" s="3">
        <v>92</v>
      </c>
      <c r="F97" s="62">
        <v>8.07826426511037E-2</v>
      </c>
      <c r="G97" s="62">
        <v>3.0782642651103701E-2</v>
      </c>
      <c r="H97" s="74">
        <v>8.4405424847336902E-2</v>
      </c>
      <c r="I97" s="74">
        <v>4.63909825854361E-2</v>
      </c>
      <c r="J97" s="67">
        <f t="shared" si="4"/>
        <v>7.7173625236539797E-2</v>
      </c>
      <c r="K97" s="63">
        <f t="shared" si="3"/>
        <v>0.16518806749844062</v>
      </c>
    </row>
    <row r="98" spans="2:11">
      <c r="B98" s="5" t="s">
        <v>7</v>
      </c>
      <c r="C98" s="3" t="s">
        <v>84</v>
      </c>
      <c r="D98" s="3" t="s">
        <v>109</v>
      </c>
      <c r="E98" s="3">
        <v>93</v>
      </c>
      <c r="F98" s="62">
        <v>8.8017051151490902E-2</v>
      </c>
      <c r="G98" s="62">
        <v>3.8017051151490899E-2</v>
      </c>
      <c r="H98" s="74">
        <v>0.108242639681924</v>
      </c>
      <c r="I98" s="74">
        <v>6.6561353365675396E-2</v>
      </c>
      <c r="J98" s="67">
        <f t="shared" si="4"/>
        <v>0.1045784045171663</v>
      </c>
      <c r="K98" s="63">
        <f t="shared" si="3"/>
        <v>0.19625969083341491</v>
      </c>
    </row>
    <row r="99" spans="2:11">
      <c r="B99" s="5" t="s">
        <v>7</v>
      </c>
      <c r="C99" s="3" t="s">
        <v>84</v>
      </c>
      <c r="D99" s="3" t="s">
        <v>110</v>
      </c>
      <c r="E99" s="3">
        <v>94</v>
      </c>
      <c r="F99" s="62">
        <v>8.1550252723468303E-2</v>
      </c>
      <c r="G99" s="62">
        <v>3.15502527234683E-2</v>
      </c>
      <c r="H99" s="74">
        <v>9.5075994331946301E-2</v>
      </c>
      <c r="I99" s="74">
        <v>5.3997968098700298E-2</v>
      </c>
      <c r="J99" s="67">
        <f t="shared" si="4"/>
        <v>8.5548220822168591E-2</v>
      </c>
      <c r="K99" s="63">
        <f t="shared" si="3"/>
        <v>0.1766262470554146</v>
      </c>
    </row>
    <row r="100" spans="2:11">
      <c r="B100" s="5" t="s">
        <v>23</v>
      </c>
      <c r="C100" s="3" t="s">
        <v>111</v>
      </c>
      <c r="D100" s="3" t="s">
        <v>112</v>
      </c>
      <c r="E100" s="3">
        <v>95</v>
      </c>
      <c r="F100" s="62">
        <v>6.7412137147799298E-2</v>
      </c>
      <c r="G100" s="62">
        <v>2.8075280423866901E-2</v>
      </c>
      <c r="H100" s="74">
        <v>3.77793649119934E-2</v>
      </c>
      <c r="I100" s="74">
        <v>2.5158860354242099E-2</v>
      </c>
      <c r="J100" s="67">
        <f t="shared" si="4"/>
        <v>5.3234140778109E-2</v>
      </c>
      <c r="K100" s="63">
        <f t="shared" si="3"/>
        <v>0.10519150205979269</v>
      </c>
    </row>
    <row r="101" spans="2:11">
      <c r="B101" s="5" t="s">
        <v>23</v>
      </c>
      <c r="C101" s="3" t="s">
        <v>111</v>
      </c>
      <c r="D101" s="3" t="s">
        <v>113</v>
      </c>
      <c r="E101" s="3">
        <v>96</v>
      </c>
      <c r="F101" s="62">
        <v>6.8134988867200305E-2</v>
      </c>
      <c r="G101" s="62">
        <v>2.9018387453775201E-2</v>
      </c>
      <c r="H101" s="74">
        <v>7.2583359831660005E-2</v>
      </c>
      <c r="I101" s="74">
        <v>5.0062153280890899E-2</v>
      </c>
      <c r="J101" s="67">
        <f t="shared" si="4"/>
        <v>7.9080540734666097E-2</v>
      </c>
      <c r="K101" s="63">
        <f t="shared" si="3"/>
        <v>0.1407183486988603</v>
      </c>
    </row>
    <row r="102" spans="2:11">
      <c r="B102" s="5" t="s">
        <v>23</v>
      </c>
      <c r="C102" s="3" t="s">
        <v>111</v>
      </c>
      <c r="D102" s="3" t="s">
        <v>114</v>
      </c>
      <c r="E102" s="3">
        <v>97</v>
      </c>
      <c r="F102" s="62">
        <v>6.4023873610006304E-2</v>
      </c>
      <c r="G102" s="62">
        <v>2.48997297337346E-2</v>
      </c>
      <c r="H102" s="74">
        <v>3.5529705250352803E-2</v>
      </c>
      <c r="I102" s="74">
        <v>2.0706562523210899E-2</v>
      </c>
      <c r="J102" s="67">
        <f t="shared" si="4"/>
        <v>4.5606292256945499E-2</v>
      </c>
      <c r="K102" s="63">
        <f t="shared" ref="K102:K113" si="5">F102+H102</f>
        <v>9.9553578860359107E-2</v>
      </c>
    </row>
    <row r="103" spans="2:11">
      <c r="B103" s="5" t="s">
        <v>23</v>
      </c>
      <c r="C103" s="3" t="s">
        <v>111</v>
      </c>
      <c r="D103" s="3" t="s">
        <v>115</v>
      </c>
      <c r="E103" s="3">
        <v>98</v>
      </c>
      <c r="F103" s="62">
        <v>6.7387310901768402E-2</v>
      </c>
      <c r="G103" s="62">
        <v>2.68773022472951E-2</v>
      </c>
      <c r="H103" s="74">
        <v>5.7028332333507903E-2</v>
      </c>
      <c r="I103" s="74">
        <v>3.5626424022993902E-2</v>
      </c>
      <c r="J103" s="67">
        <f t="shared" si="4"/>
        <v>6.2503726270288995E-2</v>
      </c>
      <c r="K103" s="63">
        <f t="shared" si="5"/>
        <v>0.1244156432352763</v>
      </c>
    </row>
    <row r="104" spans="2:11">
      <c r="B104" s="5" t="s">
        <v>23</v>
      </c>
      <c r="C104" s="3" t="s">
        <v>111</v>
      </c>
      <c r="D104" s="3" t="s">
        <v>116</v>
      </c>
      <c r="E104" s="3">
        <v>99</v>
      </c>
      <c r="F104" s="62">
        <v>6.49181036650604E-2</v>
      </c>
      <c r="G104" s="62">
        <v>2.6050560326961701E-2</v>
      </c>
      <c r="H104" s="74">
        <v>5.2578685437941398E-2</v>
      </c>
      <c r="I104" s="74">
        <v>3.1694423106243798E-2</v>
      </c>
      <c r="J104" s="67">
        <f t="shared" si="4"/>
        <v>5.7744983433205499E-2</v>
      </c>
      <c r="K104" s="63">
        <f t="shared" si="5"/>
        <v>0.11749678910300179</v>
      </c>
    </row>
    <row r="105" spans="2:11">
      <c r="B105" s="5" t="s">
        <v>23</v>
      </c>
      <c r="C105" s="3" t="s">
        <v>111</v>
      </c>
      <c r="D105" s="3" t="s">
        <v>117</v>
      </c>
      <c r="E105" s="3">
        <v>100</v>
      </c>
      <c r="F105" s="62">
        <v>7.6341242654010794E-2</v>
      </c>
      <c r="G105" s="62">
        <v>3.19389157177127E-2</v>
      </c>
      <c r="H105" s="74">
        <v>4.34703031799972E-2</v>
      </c>
      <c r="I105" s="74">
        <v>2.83734980437725E-2</v>
      </c>
      <c r="J105" s="67">
        <f t="shared" si="4"/>
        <v>6.0312413761485204E-2</v>
      </c>
      <c r="K105" s="63">
        <f t="shared" si="5"/>
        <v>0.11981154583400799</v>
      </c>
    </row>
    <row r="106" spans="2:11">
      <c r="B106" s="5" t="s">
        <v>23</v>
      </c>
      <c r="C106" s="3" t="s">
        <v>111</v>
      </c>
      <c r="D106" s="3" t="s">
        <v>118</v>
      </c>
      <c r="E106" s="3">
        <v>101</v>
      </c>
      <c r="F106" s="62">
        <v>7.15219109483725E-2</v>
      </c>
      <c r="G106" s="62">
        <v>2.8653094283871802E-2</v>
      </c>
      <c r="H106" s="74">
        <v>6.1430455417683202E-2</v>
      </c>
      <c r="I106" s="74">
        <v>3.4399352515209002E-2</v>
      </c>
      <c r="J106" s="67">
        <f t="shared" si="4"/>
        <v>6.30524467990808E-2</v>
      </c>
      <c r="K106" s="63">
        <f t="shared" si="5"/>
        <v>0.1329523663660557</v>
      </c>
    </row>
    <row r="107" spans="2:11">
      <c r="B107" s="5" t="s">
        <v>23</v>
      </c>
      <c r="C107" s="3" t="s">
        <v>111</v>
      </c>
      <c r="D107" s="3" t="s">
        <v>119</v>
      </c>
      <c r="E107" s="3">
        <v>102</v>
      </c>
      <c r="F107" s="62">
        <v>6.0655328417136799E-2</v>
      </c>
      <c r="G107" s="62">
        <v>2.4576385130296498E-2</v>
      </c>
      <c r="H107" s="74">
        <v>3.7183965569255503E-2</v>
      </c>
      <c r="I107" s="74">
        <v>2.4404955471704098E-2</v>
      </c>
      <c r="J107" s="67">
        <f t="shared" si="4"/>
        <v>4.89813406020006E-2</v>
      </c>
      <c r="K107" s="63">
        <f t="shared" si="5"/>
        <v>9.7839293986392295E-2</v>
      </c>
    </row>
    <row r="108" spans="2:11">
      <c r="B108" s="5" t="s">
        <v>23</v>
      </c>
      <c r="C108" s="3" t="s">
        <v>111</v>
      </c>
      <c r="D108" s="3" t="s">
        <v>120</v>
      </c>
      <c r="E108" s="3">
        <v>103</v>
      </c>
      <c r="F108" s="62">
        <v>6.7949890079041397E-2</v>
      </c>
      <c r="G108" s="62">
        <v>2.74138450645557E-2</v>
      </c>
      <c r="H108" s="74">
        <v>4.7119694768014003E-2</v>
      </c>
      <c r="I108" s="74">
        <v>3.0870209414163598E-2</v>
      </c>
      <c r="J108" s="67">
        <f t="shared" si="4"/>
        <v>5.8284054478719302E-2</v>
      </c>
      <c r="K108" s="63">
        <f t="shared" si="5"/>
        <v>0.1150695848470554</v>
      </c>
    </row>
    <row r="109" spans="2:11">
      <c r="B109" s="5" t="s">
        <v>23</v>
      </c>
      <c r="C109" s="3" t="s">
        <v>111</v>
      </c>
      <c r="D109" s="3" t="s">
        <v>121</v>
      </c>
      <c r="E109" s="3">
        <v>104</v>
      </c>
      <c r="F109" s="62">
        <v>7.2533918456464105E-2</v>
      </c>
      <c r="G109" s="62">
        <v>3.1103493115124899E-2</v>
      </c>
      <c r="H109" s="74">
        <v>7.1675103541659901E-2</v>
      </c>
      <c r="I109" s="74">
        <v>4.4118083079152499E-2</v>
      </c>
      <c r="J109" s="67">
        <f t="shared" si="4"/>
        <v>7.5221576194277398E-2</v>
      </c>
      <c r="K109" s="63">
        <f t="shared" si="5"/>
        <v>0.14420902199812402</v>
      </c>
    </row>
    <row r="110" spans="2:11">
      <c r="B110" s="5" t="s">
        <v>23</v>
      </c>
      <c r="C110" s="3" t="s">
        <v>111</v>
      </c>
      <c r="D110" s="3" t="s">
        <v>122</v>
      </c>
      <c r="E110" s="3">
        <v>105</v>
      </c>
      <c r="F110" s="62">
        <v>6.81807276734816E-2</v>
      </c>
      <c r="G110" s="62">
        <v>2.71984614251678E-2</v>
      </c>
      <c r="H110" s="74">
        <v>4.7724181567383797E-2</v>
      </c>
      <c r="I110" s="74">
        <v>2.6795984429556E-2</v>
      </c>
      <c r="J110" s="67">
        <f t="shared" si="4"/>
        <v>5.3994445854723801E-2</v>
      </c>
      <c r="K110" s="63">
        <f t="shared" si="5"/>
        <v>0.1159049092408654</v>
      </c>
    </row>
    <row r="111" spans="2:11">
      <c r="B111" s="5" t="s">
        <v>23</v>
      </c>
      <c r="C111" s="3" t="s">
        <v>111</v>
      </c>
      <c r="D111" s="3" t="s">
        <v>123</v>
      </c>
      <c r="E111" s="3">
        <v>106</v>
      </c>
      <c r="F111" s="62">
        <v>7.7449033706506604E-2</v>
      </c>
      <c r="G111" s="62">
        <v>3.2324892447125997E-2</v>
      </c>
      <c r="H111" s="74">
        <v>7.1066793733002204E-2</v>
      </c>
      <c r="I111" s="74">
        <v>4.74494889058635E-2</v>
      </c>
      <c r="J111" s="67">
        <f t="shared" si="4"/>
        <v>7.9774381352989504E-2</v>
      </c>
      <c r="K111" s="63">
        <f t="shared" si="5"/>
        <v>0.14851582743950881</v>
      </c>
    </row>
    <row r="112" spans="2:11">
      <c r="B112" s="5" t="s">
        <v>23</v>
      </c>
      <c r="C112" s="3" t="s">
        <v>111</v>
      </c>
      <c r="D112" s="3" t="s">
        <v>124</v>
      </c>
      <c r="E112" s="3">
        <v>107</v>
      </c>
      <c r="F112" s="62">
        <v>6.22278787251778E-2</v>
      </c>
      <c r="G112" s="62">
        <v>2.6865339153822599E-2</v>
      </c>
      <c r="H112" s="74">
        <v>5.3266099173143802E-2</v>
      </c>
      <c r="I112" s="74">
        <v>3.4169943664270098E-2</v>
      </c>
      <c r="J112" s="67">
        <f t="shared" si="4"/>
        <v>6.1035282818092701E-2</v>
      </c>
      <c r="K112" s="63">
        <f t="shared" si="5"/>
        <v>0.11549397789832161</v>
      </c>
    </row>
    <row r="113" spans="2:11" ht="15.75" thickBot="1">
      <c r="B113" s="7" t="s">
        <v>23</v>
      </c>
      <c r="C113" s="69" t="s">
        <v>111</v>
      </c>
      <c r="D113" s="69" t="s">
        <v>125</v>
      </c>
      <c r="E113" s="69">
        <v>108</v>
      </c>
      <c r="F113" s="70">
        <v>7.25153951180567E-2</v>
      </c>
      <c r="G113" s="70">
        <v>2.98724898062303E-2</v>
      </c>
      <c r="H113" s="74">
        <v>7.3040064413950598E-2</v>
      </c>
      <c r="I113" s="74">
        <v>3.9239044932473897E-2</v>
      </c>
      <c r="J113" s="72">
        <f t="shared" si="4"/>
        <v>6.9111534738704197E-2</v>
      </c>
      <c r="K113" s="71">
        <f t="shared" si="5"/>
        <v>0.1455554595320073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MortalityCalculationLRLD2014</vt:lpstr>
      <vt:lpstr>MortalityCalculationSRSD2014</vt:lpstr>
      <vt:lpstr>FinalRates</vt:lpstr>
      <vt:lpstr>MortalityCalculationSRSD2014!Beta</vt:lpstr>
      <vt:lpstr>Beta</vt:lpstr>
      <vt:lpstr>MortalityCalculationSRSD2014!NDVI</vt:lpstr>
      <vt:lpstr>NDVI</vt:lpstr>
      <vt:lpstr>MortalityCalculationSRSD2014!rho</vt:lpstr>
      <vt:lpstr>rho</vt:lpstr>
      <vt:lpstr>MortalityCalculationSRSD2014!W</vt:lpstr>
      <vt:lpstr>W</vt:lpstr>
      <vt:lpstr>MortalityCalculationSRSD2014!Xint</vt:lpstr>
      <vt:lpstr>Xint</vt:lpstr>
      <vt:lpstr>MortalityCalculationSRSD2014!Xmat</vt:lpstr>
      <vt:lpstr>Xmat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JoshAsus2</dc:creator>
  <cp:lastModifiedBy>Joshua</cp:lastModifiedBy>
  <dcterms:created xsi:type="dcterms:W3CDTF">2012-11-20T21:10:58Z</dcterms:created>
  <dcterms:modified xsi:type="dcterms:W3CDTF">2013-12-06T00:17:06Z</dcterms:modified>
</cp:coreProperties>
</file>